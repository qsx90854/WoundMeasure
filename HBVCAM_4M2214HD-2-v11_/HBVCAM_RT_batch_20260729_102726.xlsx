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63d89d23b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 Results" sheetId="1" r:id="R78ad683e8176479d"/>
    <x:sheet xmlns:r="http://schemas.openxmlformats.org/officeDocument/2006/relationships" name="Summary" sheetId="2" r:id="R0fbdf25b2263453a"/>
    <x:sheet xmlns:r="http://schemas.openxmlformats.org/officeDocument/2006/relationships" name="Protocol" sheetId="3" r:id="R24bb65dbcf1d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2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85252757d40d6" /><Relationship Type="http://schemas.openxmlformats.org/officeDocument/2006/relationships/theme" Target="/xl/theme/theme1.xml" Id="Re8c203ff319748ac" /><Relationship Type="http://schemas.microsoft.com/office/2022/11/relationships/FeaturePropertyBag" Target="/xl/featurePropertyBag/featurePropertyBag.xml" Id="Rf8f7d37694e24ec5" /><Relationship Type="http://schemas.openxmlformats.org/officeDocument/2006/relationships/sharedStrings" Target="/xl/sharedStrings.xml" Id="Rdcf23c36e97e48da" /><Relationship Type="http://schemas.openxmlformats.org/officeDocument/2006/relationships/worksheet" Target="/xl/worksheets/sheet1.xml" Id="R78ad683e8176479d" /><Relationship Type="http://schemas.openxmlformats.org/officeDocument/2006/relationships/worksheet" Target="/xl/worksheets/sheet2.xml" Id="R0fbdf25b2263453a" /><Relationship Type="http://schemas.openxmlformats.org/officeDocument/2006/relationships/worksheet" Target="/xl/worksheets/sheet3.xml" Id="R24bb65dbcf1d40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BVCAMRTResults" displayName="HBVCAMRTResults" ref="A1:T12" headerRowCount="1" totalsRowCount="0" totalsRowShown="0">
  <x:tableColumns count="20">
    <x:tableColumn id="1" name="Run #"/>
    <x:tableColumn id="2" name="Video File"/>
    <x:tableColumn id="3" name="Video Path"/>
    <x:tableColumn id="4" name="Status"/>
    <x:tableColumn id="5" name="Failure Reason"/>
    <x:tableColumn id="6" name="Frame Index"/>
    <x:tableColumn id="7" name="Total Frames"/>
    <x:tableColumn id="8" name="Rotation Error (deg)"/>
    <x:tableColumn id="9" name="Translation L2 Error (mm)"/>
    <x:tableColumn id="10" name="Translation Direction Error (deg)"/>
    <x:tableColumn id="11" name="Algorithm Baseline (mm)"/>
    <x:tableColumn id="12" name="JSON Baseline (mm)"/>
    <x:tableColumn id="13" name="Baseline Delta (mm)"/>
    <x:tableColumn id="14" name="Baseline Error (%)"/>
    <x:tableColumn id="15" name="RT Internal Error (px)"/>
    <x:tableColumn id="16" name="Marker Bidirectional RMS (px)"/>
    <x:tableColumn id="17" name="Feature Median (px)"/>
    <x:tableColumn id="18" name="RT Reliable"/>
    <x:tableColumn id="19" name="Processing Time (s)"/>
    <x:tableColumn id="20" name="Absolute Baseline Delta (m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a1ee7bdfa4a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8" hidden="0" customWidth="1"/>
    <x:col min="5" max="5" width="44" hidden="0" customWidth="1"/>
    <x:col min="6" max="6" width="12" hidden="0" customWidth="1"/>
    <x:col min="7" max="7" width="13" hidden="0" customWidth="1"/>
    <x:col min="8" max="8" width="20" hidden="0" customWidth="1"/>
    <x:col min="9" max="9" width="22" hidden="0" customWidth="1"/>
    <x:col min="10" max="10" width="27" hidden="0" customWidth="1"/>
    <x:col min="11" max="11" width="22" hidden="0" customWidth="1"/>
    <x:col min="12" max="12" width="19" hidden="0" customWidth="1"/>
    <x:col min="13" max="13" width="20" hidden="0" customWidth="1"/>
    <x:col min="14" max="14" width="19" hidden="0" customWidth="1"/>
    <x:col min="15" max="15" width="21" hidden="0" customWidth="1"/>
    <x:col min="16" max="16" width="28" hidden="0" customWidth="1"/>
    <x:col min="17" max="17" width="20" hidden="0" customWidth="1"/>
    <x:col min="18" max="18" width="13" hidden="0" customWidth="1"/>
    <x:col min="19" max="19" width="19" hidden="0" customWidth="1"/>
    <x:col min="20" max="20" width="25" hidden="0" customWidth="1"/>
  </x:cols>
  <x:sheetData>
    <x:row r="1" ht="36" customHeight="1">
      <x:c r="A1" s="12" t="str">
        <x:v>Run #</x:v>
      </x:c>
      <x:c r="B1" s="12" t="str">
        <x:v>Video File</x:v>
      </x:c>
      <x:c r="C1" s="12" t="str">
        <x:v>Video Path</x:v>
      </x:c>
      <x:c r="D1" s="12" t="str">
        <x:v>Status</x:v>
      </x:c>
      <x:c r="E1" s="12" t="str">
        <x:v>Failure Reason</x:v>
      </x:c>
      <x:c r="F1" s="12" t="str">
        <x:v>Frame Index</x:v>
      </x:c>
      <x:c r="G1" s="12" t="str">
        <x:v>Total Frames</x:v>
      </x:c>
      <x:c r="H1" s="12" t="str">
        <x:v>Rotation Error (deg)</x:v>
      </x:c>
      <x:c r="I1" s="12" t="str">
        <x:v>Translation L2 Error (mm)</x:v>
      </x:c>
      <x:c r="J1" s="12" t="str">
        <x:v>Translation Direction Error (deg)</x:v>
      </x:c>
      <x:c r="K1" s="12" t="str">
        <x:v>Algorithm Baseline (mm)</x:v>
      </x:c>
      <x:c r="L1" s="12" t="str">
        <x:v>JSON Baseline (mm)</x:v>
      </x:c>
      <x:c r="M1" s="12" t="str">
        <x:v>Baseline Delta (mm)</x:v>
      </x:c>
      <x:c r="N1" s="12" t="str">
        <x:v>Baseline Error (%)</x:v>
      </x:c>
      <x:c r="O1" s="12" t="str">
        <x:v>RT Internal Error (px)</x:v>
      </x:c>
      <x:c r="P1" s="12" t="str">
        <x:v>Marker Bidirectional RMS (px)</x:v>
      </x:c>
      <x:c r="Q1" s="12" t="str">
        <x:v>Feature Median (px)</x:v>
      </x:c>
      <x:c r="R1" s="12" t="str">
        <x:v>RT Reliable</x:v>
      </x:c>
      <x:c r="S1" s="12" t="str">
        <x:v>Processing Time (s)</x:v>
      </x:c>
      <x:c r="T1" s="12" t="str">
        <x:v>Absolute Baseline Delta (mm)</x:v>
      </x:c>
    </x:row>
    <x:row r="2">
      <x:c r="A2" s="13" t="n">
        <x:v>1</x:v>
      </x:c>
      <x:c r="B2" s="13" t="str">
        <x:v>video_20260728_141501.mp4</x:v>
      </x:c>
      <x:c r="C2" s="25" t="str">
        <x:v>D:\Lightglue\lg_env\HBVCAM_4M2214HD-2-v11\video_20260728_141501.mp4</x:v>
      </x:c>
      <x:c r="D2" s="13" t="str">
        <x:v>OK</x:v>
      </x:c>
      <x:c r="E2" s="25" t="str"/>
      <x:c r="F2" s="13" t="n">
        <x:v>50</x:v>
      </x:c>
      <x:c r="G2" s="13" t="n">
        <x:v>84</x:v>
      </x:c>
      <x:c r="H2" s="14" t="n">
        <x:v>1.0119260710990825</x:v>
      </x:c>
      <x:c r="I2" s="14" t="n">
        <x:v>3.2669531450877702</x:v>
      </x:c>
      <x:c r="J2" s="14" t="n">
        <x:v>2.9248335973576896</x:v>
      </x:c>
      <x:c r="K2" s="14" t="n">
        <x:v>60.91110749850636</x:v>
      </x:c>
      <x:c r="L2" s="14" t="n">
        <x:v>61.838279270925206</x:v>
      </x:c>
      <x:c r="M2" s="14" t="n">
        <x:v>-0.9271717724188449</x:v>
      </x:c>
      <x:c r="N2" s="15" t="n">
        <x:f>IFERROR(ABS(M2)/L2,"")</x:f>
        <x:v>0.014993492434624996</x:v>
      </x:c>
      <x:c r="O2" s="16" t="n">
        <x:v>0.47045162034363897</x:v>
      </x:c>
      <x:c r="P2" s="16" t="n">
        <x:v>0.21688940341038732</x:v>
      </x:c>
      <x:c r="Q2" s="16" t="n">
        <x:v>0.47045162034363897</x:v>
      </x:c>
      <x:c r="R2" s="17" t="b">
        <x:v>1</x:v>
      </x:c>
      <x:c r="S2" s="18" t="n">
        <x:v>3.0159868000773713</x:v>
      </x:c>
      <x:c r="T2" s="14" t="n">
        <x:f>IF(M2="","",ABS(M2))</x:f>
        <x:v>0.9271717724188449</x:v>
      </x:c>
    </x:row>
    <x:row r="3">
      <x:c r="A3" s="13" t="n">
        <x:v>2</x:v>
      </x:c>
      <x:c r="B3" s="13" t="str">
        <x:v>video_20260728_142551.mp4</x:v>
      </x:c>
      <x:c r="C3" s="25" t="str">
        <x:v>D:\Lightglue\lg_env\HBVCAM_4M2214HD-2-v11\video_20260728_142551.mp4</x:v>
      </x:c>
      <x:c r="D3" s="13" t="str">
        <x:v>QUALITY_WARNING</x:v>
      </x:c>
      <x:c r="E3" s="25" t="str">
        <x:v>RT result produced, but the analyzer quality flag is false.</x:v>
      </x:c>
      <x:c r="F3" s="13" t="n">
        <x:v>50</x:v>
      </x:c>
      <x:c r="G3" s="13" t="n">
        <x:v>150</x:v>
      </x:c>
      <x:c r="H3" s="14" t="n">
        <x:v>3.293426002966849</x:v>
      </x:c>
      <x:c r="I3" s="14" t="n">
        <x:v>11.90098123041328</x:v>
      </x:c>
      <x:c r="J3" s="14" t="n">
        <x:v>9.710887258273095</x:v>
      </x:c>
      <x:c r="K3" s="14" t="n">
        <x:v>55.22209791595087</x:v>
      </x:c>
      <x:c r="L3" s="14" t="n">
        <x:v>61.838279270925206</x:v>
      </x:c>
      <x:c r="M3" s="14" t="n">
        <x:v>-6.616181354974337</x:v>
      </x:c>
      <x:c r="N3" s="15" t="n">
        <x:f>IFERROR(ABS(M3)/L3,"")</x:f>
        <x:v>0.10699167947393223</x:v>
      </x:c>
      <x:c r="O3" s="16" t="n">
        <x:v>1.0503914143587418</x:v>
      </x:c>
      <x:c r="P3" s="16" t="n">
        <x:v>0.14128605323333496</x:v>
      </x:c>
      <x:c r="Q3" s="16" t="n">
        <x:v>1.0503914143587418</x:v>
      </x:c>
      <x:c r="R3" s="17" t="b">
        <x:v>0</x:v>
      </x:c>
      <x:c r="S3" s="18" t="n">
        <x:v>1.7526155000086874</x:v>
      </x:c>
      <x:c r="T3" s="14" t="n">
        <x:f>IF(M3="","",ABS(M3))</x:f>
        <x:v>6.616181354974337</x:v>
      </x:c>
    </x:row>
    <x:row r="4">
      <x:c r="A4" s="13" t="n">
        <x:v>3</x:v>
      </x:c>
      <x:c r="B4" s="13" t="str">
        <x:v>video_20260728_143043.mp4</x:v>
      </x:c>
      <x:c r="C4" s="25" t="str">
        <x:v>D:\Lightglue\lg_env\HBVCAM_4M2214HD-2-v11\video_20260728_143043.mp4</x:v>
      </x:c>
      <x:c r="D4" s="13" t="str">
        <x:v>OK</x:v>
      </x:c>
      <x:c r="E4" s="25" t="str"/>
      <x:c r="F4" s="13" t="n">
        <x:v>50</x:v>
      </x:c>
      <x:c r="G4" s="13" t="n">
        <x:v>118</x:v>
      </x:c>
      <x:c r="H4" s="14" t="n">
        <x:v>0.7098123542285749</x:v>
      </x:c>
      <x:c r="I4" s="14" t="n">
        <x:v>3.2018271395260247</x:v>
      </x:c>
      <x:c r="J4" s="14" t="n">
        <x:v>0.35608866328745264</x:v>
      </x:c>
      <x:c r="K4" s="14" t="n">
        <x:v>58.65840649793814</x:v>
      </x:c>
      <x:c r="L4" s="14" t="n">
        <x:v>61.838279270925206</x:v>
      </x:c>
      <x:c r="M4" s="14" t="n">
        <x:v>-3.1798727729870677</x:v>
      </x:c>
      <x:c r="N4" s="15" t="n">
        <x:f>IFERROR(ABS(M4)/L4,"")</x:f>
        <x:v>0.05142240066311424</x:v>
      </x:c>
      <x:c r="O4" s="16" t="n">
        <x:v>0.3145900873017091</x:v>
      </x:c>
      <x:c r="P4" s="16" t="n">
        <x:v>0.12749003425411207</x:v>
      </x:c>
      <x:c r="Q4" s="16" t="n">
        <x:v>0.3145900873017091</x:v>
      </x:c>
      <x:c r="R4" s="17" t="b">
        <x:v>1</x:v>
      </x:c>
      <x:c r="S4" s="18" t="n">
        <x:v>1.0740905000129715</x:v>
      </x:c>
      <x:c r="T4" s="14" t="n">
        <x:f>IF(M4="","",ABS(M4))</x:f>
        <x:v>3.1798727729870677</x:v>
      </x:c>
    </x:row>
    <x:row r="5">
      <x:c r="A5" s="13" t="n">
        <x:v>4</x:v>
      </x:c>
      <x:c r="B5" s="13" t="str">
        <x:v>video_20260728_143958.mp4</x:v>
      </x:c>
      <x:c r="C5" s="25" t="str">
        <x:v>D:\Lightglue\lg_env\HBVCAM_4M2214HD-2-v11\video_20260728_143958.mp4</x:v>
      </x:c>
      <x:c r="D5" s="13" t="str">
        <x:v>OK</x:v>
      </x:c>
      <x:c r="E5" s="25" t="str"/>
      <x:c r="F5" s="13" t="n">
        <x:v>50</x:v>
      </x:c>
      <x:c r="G5" s="13" t="n">
        <x:v>142</x:v>
      </x:c>
      <x:c r="H5" s="14" t="n">
        <x:v>0.13183811214440957</x:v>
      </x:c>
      <x:c r="I5" s="14" t="n">
        <x:v>1.2877724384145919</x:v>
      </x:c>
      <x:c r="J5" s="14" t="n">
        <x:v>0.747561414846032</x:v>
      </x:c>
      <x:c r="K5" s="14" t="n">
        <x:v>60.829312023116785</x:v>
      </x:c>
      <x:c r="L5" s="14" t="n">
        <x:v>61.838279270925206</x:v>
      </x:c>
      <x:c r="M5" s="14" t="n">
        <x:v>-1.008967247808421</x:v>
      </x:c>
      <x:c r="N5" s="15" t="n">
        <x:f>IFERROR(ABS(M5)/L5,"")</x:f>
        <x:v>0.01631622450857574</x:v>
      </x:c>
      <x:c r="O5" s="16" t="n">
        <x:v>0.22679367761588498</x:v>
      </x:c>
      <x:c r="P5" s="16" t="n">
        <x:v>0.14686331785976944</x:v>
      </x:c>
      <x:c r="Q5" s="16" t="n">
        <x:v>0.22679367761588498</x:v>
      </x:c>
      <x:c r="R5" s="17" t="b">
        <x:v>1</x:v>
      </x:c>
      <x:c r="S5" s="18" t="n">
        <x:v>1.5968896000413224</x:v>
      </x:c>
      <x:c r="T5" s="14" t="n">
        <x:f>IF(M5="","",ABS(M5))</x:f>
        <x:v>1.008967247808421</x:v>
      </x:c>
    </x:row>
    <x:row r="6">
      <x:c r="A6" s="13" t="n">
        <x:v>5</x:v>
      </x:c>
      <x:c r="B6" s="13" t="str">
        <x:v>video_20260728_144526.mp4</x:v>
      </x:c>
      <x:c r="C6" s="25" t="str">
        <x:v>D:\Lightglue\lg_env\HBVCAM_4M2214HD-2-v11\video_20260728_144526.mp4</x:v>
      </x:c>
      <x:c r="D6" s="13" t="str">
        <x:v>OK</x:v>
      </x:c>
      <x:c r="E6" s="25" t="str"/>
      <x:c r="F6" s="13" t="n">
        <x:v>50</x:v>
      </x:c>
      <x:c r="G6" s="13" t="n">
        <x:v>104</x:v>
      </x:c>
      <x:c r="H6" s="14" t="n">
        <x:v>0.8499160125557175</x:v>
      </x:c>
      <x:c r="I6" s="14" t="n">
        <x:v>2.2575297305592623</x:v>
      </x:c>
      <x:c r="J6" s="14" t="n">
        <x:v>2.090279508033532</x:v>
      </x:c>
      <x:c r="K6" s="14" t="n">
        <x:v>61.892846659670965</x:v>
      </x:c>
      <x:c r="L6" s="14" t="n">
        <x:v>61.838279270925206</x:v>
      </x:c>
      <x:c r="M6" s="14" t="n">
        <x:v>0.054567388745759615</x:v>
      </x:c>
      <x:c r="N6" s="15" t="n">
        <x:f>IFERROR(ABS(M6)/L6,"")</x:f>
        <x:v>0.0008824208789298544</x:v>
      </x:c>
      <x:c r="O6" s="16" t="n">
        <x:v>0.5865846361481841</x:v>
      </x:c>
      <x:c r="P6" s="16" t="n">
        <x:v>0.24116719316827787</x:v>
      </x:c>
      <x:c r="Q6" s="16" t="n">
        <x:v>0.5865846361481841</x:v>
      </x:c>
      <x:c r="R6" s="17" t="b">
        <x:v>1</x:v>
      </x:c>
      <x:c r="S6" s="18" t="n">
        <x:v>1.0866846999851987</x:v>
      </x:c>
      <x:c r="T6" s="14" t="n">
        <x:f>IF(M6="","",ABS(M6))</x:f>
        <x:v>0.054567388745759615</x:v>
      </x:c>
    </x:row>
    <x:row r="7">
      <x:c r="A7" s="13" t="n">
        <x:v>6</x:v>
      </x:c>
      <x:c r="B7" s="13" t="str">
        <x:v>video_20260728_145142.mp4</x:v>
      </x:c>
      <x:c r="C7" s="25" t="str">
        <x:v>D:\Lightglue\lg_env\HBVCAM_4M2214HD-2-v11\video_20260728_145142.mp4</x:v>
      </x:c>
      <x:c r="D7" s="13" t="str">
        <x:v>OK</x:v>
      </x:c>
      <x:c r="E7" s="25" t="str"/>
      <x:c r="F7" s="13" t="n">
        <x:v>50</x:v>
      </x:c>
      <x:c r="G7" s="13" t="n">
        <x:v>90</x:v>
      </x:c>
      <x:c r="H7" s="14" t="n">
        <x:v>1.2781270068743775</x:v>
      </x:c>
      <x:c r="I7" s="14" t="n">
        <x:v>4.753238648798571</x:v>
      </x:c>
      <x:c r="J7" s="14" t="n">
        <x:v>2.892692680511245</x:v>
      </x:c>
      <x:c r="K7" s="14" t="n">
        <x:v>58.17416975905176</x:v>
      </x:c>
      <x:c r="L7" s="14" t="n">
        <x:v>61.838279270925206</x:v>
      </x:c>
      <x:c r="M7" s="14" t="n">
        <x:v>-3.6641095118734484</x:v>
      </x:c>
      <x:c r="N7" s="15" t="n">
        <x:f>IFERROR(ABS(M7)/L7,"")</x:f>
        <x:v>0.05925309622249175</x:v>
      </x:c>
      <x:c r="O7" s="16" t="n">
        <x:v>0.324180034144408</x:v>
      </x:c>
      <x:c r="P7" s="16" t="n">
        <x:v>0.16931461046099525</x:v>
      </x:c>
      <x:c r="Q7" s="16" t="n">
        <x:v>0.324180034144408</x:v>
      </x:c>
      <x:c r="R7" s="17" t="b">
        <x:v>1</x:v>
      </x:c>
      <x:c r="S7" s="18" t="n">
        <x:v>0.8944075000472367</x:v>
      </x:c>
      <x:c r="T7" s="14" t="n">
        <x:f>IF(M7="","",ABS(M7))</x:f>
        <x:v>3.6641095118734484</x:v>
      </x:c>
    </x:row>
    <x:row r="8">
      <x:c r="A8" s="13" t="n">
        <x:v>7</x:v>
      </x:c>
      <x:c r="B8" s="13" t="str">
        <x:v>video_20260728_151045.mp4</x:v>
      </x:c>
      <x:c r="C8" s="25" t="str">
        <x:v>D:\Lightglue\lg_env\HBVCAM_4M2214HD-2-v11\video_20260728_151045.mp4</x:v>
      </x:c>
      <x:c r="D8" s="13" t="str">
        <x:v>OK</x:v>
      </x:c>
      <x:c r="E8" s="25" t="str"/>
      <x:c r="F8" s="13" t="n">
        <x:v>50</x:v>
      </x:c>
      <x:c r="G8" s="13" t="n">
        <x:v>92</x:v>
      </x:c>
      <x:c r="H8" s="14" t="n">
        <x:v>1.0619422880395148</x:v>
      </x:c>
      <x:c r="I8" s="14" t="n">
        <x:v>2.8543402386313907</x:v>
      </x:c>
      <x:c r="J8" s="14" t="n">
        <x:v>2.6419693713875487</x:v>
      </x:c>
      <x:c r="K8" s="14" t="n">
        <x:v>61.62297528568431</x:v>
      </x:c>
      <x:c r="L8" s="14" t="n">
        <x:v>61.838279270925206</x:v>
      </x:c>
      <x:c r="M8" s="14" t="n">
        <x:v>-0.21530398524089378</x:v>
      </x:c>
      <x:c r="N8" s="15" t="n">
        <x:f>IFERROR(ABS(M8)/L8,"")</x:f>
        <x:v>0.0034817266550643535</x:v>
      </x:c>
      <x:c r="O8" s="16" t="n">
        <x:v>0.3601200473425826</x:v>
      </x:c>
      <x:c r="P8" s="16" t="n">
        <x:v>0.10092528609744988</x:v>
      </x:c>
      <x:c r="Q8" s="16" t="n">
        <x:v>0.3601200473425826</x:v>
      </x:c>
      <x:c r="R8" s="17" t="b">
        <x:v>1</x:v>
      </x:c>
      <x:c r="S8" s="18" t="n">
        <x:v>1.1615610000444576</x:v>
      </x:c>
      <x:c r="T8" s="14" t="n">
        <x:f>IF(M8="","",ABS(M8))</x:f>
        <x:v>0.21530398524089378</x:v>
      </x:c>
    </x:row>
    <x:row r="9">
      <x:c r="A9" s="13" t="n">
        <x:v>8</x:v>
      </x:c>
      <x:c r="B9" s="13" t="str">
        <x:v>video_20260728_151439.mp4</x:v>
      </x:c>
      <x:c r="C9" s="25" t="str">
        <x:v>D:\Lightglue\lg_env\HBVCAM_4M2214HD-2-v11\video_20260728_151439.mp4</x:v>
      </x:c>
      <x:c r="D9" s="13" t="str">
        <x:v>FAILED</x:v>
      </x:c>
      <x:c r="E9" s="25" t="str">
        <x:v>IndexError: 影片只有 40 幀，無法讀取 F50。請錄製至少 51 幀。</x:v>
      </x:c>
      <x:c r="F9" s="13" t="n">
        <x:v>50</x:v>
      </x:c>
      <x:c r="G9" s="13"/>
      <x:c r="H9" s="14"/>
      <x:c r="I9" s="14"/>
      <x:c r="J9" s="14"/>
      <x:c r="K9" s="14"/>
      <x:c r="L9" s="14"/>
      <x:c r="M9" s="14"/>
      <x:c r="N9" s="15" t="str">
        <x:f>IFERROR(ABS(M9)/L9,"")</x:f>
      </x:c>
      <x:c r="O9" s="16"/>
      <x:c r="P9" s="16"/>
      <x:c r="Q9" s="16"/>
      <x:c r="R9" s="13"/>
      <x:c r="S9" s="18" t="n">
        <x:v>0.01504259998910129</x:v>
      </x:c>
      <x:c r="T9" s="14" t="str">
        <x:f>IF(M9="","",ABS(M9))</x:f>
      </x:c>
    </x:row>
    <x:row r="10">
      <x:c r="A10" s="13" t="n">
        <x:v>9</x:v>
      </x:c>
      <x:c r="B10" s="13" t="str">
        <x:v>video_20260728_151841.mp4</x:v>
      </x:c>
      <x:c r="C10" s="25" t="str">
        <x:v>D:\Lightglue\lg_env\HBVCAM_4M2214HD-2-v11\video_20260728_151841.mp4</x:v>
      </x:c>
      <x:c r="D10" s="13" t="str">
        <x:v>QUALITY_WARNING</x:v>
      </x:c>
      <x:c r="E10" s="25" t="str">
        <x:v>RT result produced, but the analyzer quality flag is false.</x:v>
      </x:c>
      <x:c r="F10" s="13" t="n">
        <x:v>50</x:v>
      </x:c>
      <x:c r="G10" s="13" t="n">
        <x:v>104</x:v>
      </x:c>
      <x:c r="H10" s="14" t="n">
        <x:v>0.17714305415181988</x:v>
      </x:c>
      <x:c r="I10" s="14" t="n">
        <x:v>1.9863561659530222</x:v>
      </x:c>
      <x:c r="J10" s="14" t="n">
        <x:v>1.2401784974516565</x:v>
      </x:c>
      <x:c r="K10" s="14" t="n">
        <x:v>60.35603918556676</x:v>
      </x:c>
      <x:c r="L10" s="14" t="n">
        <x:v>61.838279270925206</x:v>
      </x:c>
      <x:c r="M10" s="14" t="n">
        <x:v>-1.4822400853584483</x:v>
      </x:c>
      <x:c r="N10" s="15" t="n">
        <x:f>IFERROR(ABS(M10)/L10,"")</x:f>
        <x:v>0.02396962048158672</x:v>
      </x:c>
      <x:c r="O10" s="16" t="n">
        <x:v>0.8563448593778975</x:v>
      </x:c>
      <x:c r="P10" s="16" t="n">
        <x:v>0.055809849579065186</x:v>
      </x:c>
      <x:c r="Q10" s="16" t="n">
        <x:v>0.8563448593778975</x:v>
      </x:c>
      <x:c r="R10" s="17" t="b">
        <x:v>0</x:v>
      </x:c>
      <x:c r="S10" s="18" t="n">
        <x:v>1.47510419995524</x:v>
      </x:c>
      <x:c r="T10" s="14" t="n">
        <x:f>IF(M10="","",ABS(M10))</x:f>
        <x:v>1.4822400853584483</x:v>
      </x:c>
    </x:row>
    <x:row r="11">
      <x:c r="A11" s="13" t="n">
        <x:v>10</x:v>
      </x:c>
      <x:c r="B11" s="13" t="str">
        <x:v>video_20260728_152645.mp4</x:v>
      </x:c>
      <x:c r="C11" s="25" t="str">
        <x:v>D:\Lightglue\lg_env\HBVCAM_4M2214HD-2-v11\video_20260728_152645.mp4</x:v>
      </x:c>
      <x:c r="D11" s="13" t="str">
        <x:v>OK</x:v>
      </x:c>
      <x:c r="E11" s="25" t="str"/>
      <x:c r="F11" s="13" t="n">
        <x:v>50</x:v>
      </x:c>
      <x:c r="G11" s="13" t="n">
        <x:v>82</x:v>
      </x:c>
      <x:c r="H11" s="14" t="n">
        <x:v>0.9187696332731918</x:v>
      </x:c>
      <x:c r="I11" s="14" t="n">
        <x:v>3.8725228316810028</x:v>
      </x:c>
      <x:c r="J11" s="14" t="n">
        <x:v>2.1938508206036653</x:v>
      </x:c>
      <x:c r="K11" s="14" t="n">
        <x:v>58.72818990026879</x:v>
      </x:c>
      <x:c r="L11" s="14" t="n">
        <x:v>61.838279270925206</x:v>
      </x:c>
      <x:c r="M11" s="14" t="n">
        <x:v>-3.110089370656418</x:v>
      </x:c>
      <x:c r="N11" s="15" t="n">
        <x:f>IFERROR(ABS(M11)/L11,"")</x:f>
        <x:v>0.050293918383959677</x:v>
      </x:c>
      <x:c r="O11" s="16" t="n">
        <x:v>0.3993331017710229</x:v>
      </x:c>
      <x:c r="P11" s="16" t="n">
        <x:v>0.23952709771803454</x:v>
      </x:c>
      <x:c r="Q11" s="16" t="n">
        <x:v>0.3993331017710229</x:v>
      </x:c>
      <x:c r="R11" s="17" t="b">
        <x:v>1</x:v>
      </x:c>
      <x:c r="S11" s="18" t="n">
        <x:v>0.8617971000494435</x:v>
      </x:c>
      <x:c r="T11" s="14" t="n">
        <x:f>IF(M11="","",ABS(M11))</x:f>
        <x:v>3.110089370656418</x:v>
      </x:c>
    </x:row>
    <x:row r="12">
      <x:c r="A12" s="19" t="n">
        <x:v>11</x:v>
      </x:c>
      <x:c r="B12" s="19" t="str">
        <x:v>video_20260728_153820.mp4</x:v>
      </x:c>
      <x:c r="C12" s="26" t="str">
        <x:v>D:\Lightglue\lg_env\HBVCAM_4M2214HD-2-v11\video_20260728_153820.mp4</x:v>
      </x:c>
      <x:c r="D12" s="19" t="str">
        <x:v>OK</x:v>
      </x:c>
      <x:c r="E12" s="26" t="str"/>
      <x:c r="F12" s="19" t="n">
        <x:v>50</x:v>
      </x:c>
      <x:c r="G12" s="19" t="n">
        <x:v>114</x:v>
      </x:c>
      <x:c r="H12" s="20" t="n">
        <x:v>1.0728029268641825</x:v>
      </x:c>
      <x:c r="I12" s="20" t="n">
        <x:v>5.086855137897758</x:v>
      </x:c>
      <x:c r="J12" s="20" t="n">
        <x:v>2.37851753721917</x:v>
      </x:c>
      <x:c r="K12" s="20" t="n">
        <x:v>57.39297311098169</x:v>
      </x:c>
      <x:c r="L12" s="20" t="n">
        <x:v>61.838279270925206</x:v>
      </x:c>
      <x:c r="M12" s="20" t="n">
        <x:v>-4.445306159943513</x:v>
      </x:c>
      <x:c r="N12" s="21" t="n">
        <x:f>IFERROR(ABS(M12)/L12,"")</x:f>
        <x:v>0.07188599379468154</x:v>
      </x:c>
      <x:c r="O12" s="22" t="n">
        <x:v>0.3142142252684357</x:v>
      </x:c>
      <x:c r="P12" s="22" t="n">
        <x:v>0.3142142252684357</x:v>
      </x:c>
      <x:c r="Q12" s="22" t="n">
        <x:v>0.2900241066773983</x:v>
      </x:c>
      <x:c r="R12" s="23" t="b">
        <x:v>1</x:v>
      </x:c>
      <x:c r="S12" s="24" t="n">
        <x:v>1.2495735998963937</x:v>
      </x:c>
      <x:c r="T12" s="20" t="n">
        <x:f>IF(M12="","",ABS(M12))</x:f>
        <x:v>4.445306159943513</x:v>
      </x:c>
    </x:row>
  </x:sheetData>
  <x:conditionalFormatting sqref="D2:D12">
    <x:cfRule type="containsText" dxfId="0" priority="1" operator="containsText" text="FAILED"/>
    <x:cfRule type="containsText" dxfId="1" priority="2" operator="containsText" text="QUALITY_WARNING"/>
    <x:cfRule type="containsText" dxfId="2" priority="3" operator="containsText" text="OK"/>
  </x:conditionalFormatting>
  <x:conditionalFormatting sqref="N2:N12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7a1ee7bdfa4a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27" t="str">
        <x:v>Metric</x:v>
      </x:c>
      <x:c r="B1" s="27" t="str">
        <x:v>Value</x:v>
      </x:c>
    </x:row>
    <x:row r="2">
      <x:c r="A2" s="29" t="str">
        <x:v>Total Videos</x:v>
      </x:c>
      <x:c r="B2" s="28" t="n">
        <x:f>COUNTA('RT Results'!B2:B12)</x:f>
        <x:v>11</x:v>
      </x:c>
    </x:row>
    <x:row r="3">
      <x:c r="A3" s="29" t="str">
        <x:v>RT Results Produced</x:v>
      </x:c>
      <x:c r="B3" s="28" t="n">
        <x:f>COUNT('RT Results'!K2:K12)</x:f>
        <x:v>10</x:v>
      </x:c>
    </x:row>
    <x:row r="4">
      <x:c r="A4" s="29" t="str">
        <x:v>Quality OK</x:v>
      </x:c>
      <x:c r="B4" s="28" t="n">
        <x:f>COUNTIF('RT Results'!D2:D12,"OK")</x:f>
        <x:v>8</x:v>
      </x:c>
    </x:row>
    <x:row r="5">
      <x:c r="A5" s="29" t="str">
        <x:v>Quality Warnings</x:v>
      </x:c>
      <x:c r="B5" s="28" t="n">
        <x:f>COUNTIF('RT Results'!D2:D12,"QUALITY_WARNING")</x:f>
        <x:v>2</x:v>
      </x:c>
    </x:row>
    <x:row r="6">
      <x:c r="A6" s="29" t="str">
        <x:v>Failed</x:v>
      </x:c>
      <x:c r="B6" s="28" t="n">
        <x:f>COUNTIF('RT Results'!D2:D12,"FAILED")</x:f>
        <x:v>1</x:v>
      </x:c>
    </x:row>
    <x:row r="7">
      <x:c r="A7" s="29" t="str">
        <x:v>Mean Rotation Error (deg)</x:v>
      </x:c>
      <x:c r="B7" s="30" t="n">
        <x:f>IFERROR(AVERAGE('RT Results'!H2:H12),"")</x:f>
        <x:v>1.050570346219772</x:v>
      </x:c>
    </x:row>
    <x:row r="8">
      <x:c r="A8" s="29" t="str">
        <x:v>Mean Absolute Baseline Delta (mm)</x:v>
      </x:c>
      <x:c r="B8" s="30" t="n">
        <x:f>IFERROR(AVERAGE('RT Results'!T2:T12),"")</x:f>
        <x:v>2.4703809650007154</x:v>
      </x:c>
    </x:row>
    <x:row r="9">
      <x:c r="A9" s="29" t="str">
        <x:v>Mean Baseline Error (%)</x:v>
      </x:c>
      <x:c r="B9" s="31" t="n">
        <x:f>IFERROR(AVERAGE('RT Results'!N2:N12),"")</x:f>
        <x:v>0.039949057349696115</x:v>
      </x:c>
    </x:row>
    <x:row r="10">
      <x:c r="A10" s="29" t="str">
        <x:v>Maximum Baseline Error (%)</x:v>
      </x:c>
      <x:c r="B10" s="31" t="n">
        <x:f>IFERROR(MAX('RT Results'!N2:N12),"")</x:f>
        <x:v>0.10699167947393223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</x:cols>
  <x:sheetData>
    <x:row r="1">
      <x:c r="A1" s="27" t="str">
        <x:v>Parameter</x:v>
      </x:c>
      <x:c r="B1" s="27" t="str">
        <x:v>Value</x:v>
      </x:c>
    </x:row>
    <x:row r="2">
      <x:c r="A2" s="29" t="str">
        <x:v>Generated At</x:v>
      </x:c>
      <x:c r="B2" s="34" t="str">
        <x:v>2026-07-29T10:27:41</x:v>
      </x:c>
    </x:row>
    <x:row r="3">
      <x:c r="A3" s="29" t="str">
        <x:v>Source Folder</x:v>
      </x:c>
      <x:c r="B3" s="34" t="str">
        <x:v>D:\Lightglue\lg_env\HBVCAM_4M2214HD-2-v11</x:v>
      </x:c>
    </x:row>
    <x:row r="4">
      <x:c r="A4" s="29" t="str">
        <x:v>Calibration File</x:v>
      </x:c>
      <x:c r="B4" s="34" t="str">
        <x:v>D:\Lightglue\lg_env\calibration_result_HBVCAM_4M2214HD-2-v11.json</x:v>
      </x:c>
    </x:row>
    <x:row r="5">
      <x:c r="A5" s="29" t="str">
        <x:v>Reference Frame Index (zero-based)</x:v>
      </x:c>
      <x:c r="B5" s="34" t="n">
        <x:v>50</x:v>
      </x:c>
    </x:row>
    <x:row r="6">
      <x:c r="A6" s="29" t="str">
        <x:v>Recursive Search</x:v>
      </x:c>
      <x:c r="B6" s="35" t="b">
        <x:v>0</x:v>
      </x:c>
    </x:row>
    <x:row r="7">
      <x:c r="A7" s="29" t="str">
        <x:v>Baseline Error Formula</x:v>
      </x:c>
      <x:c r="B7" s="34" t="str">
        <x:v>ABS(Algorithm Baseline - JSON Baseline) / JSON Baseline</x:v>
      </x:c>
    </x:row>
    <x:row r="8">
      <x:c r="A8" s="29" t="str">
        <x:v>Extrinsic Usage</x:v>
      </x:c>
      <x:c r="B8" s="34" t="str">
        <x:v>JSON R/T are ground truth only and are not used by RT estimation.</x:v>
      </x:c>
    </x:row>
  </x:sheetData>
  <x:pageMargins left="0.7" right="0.7" top="0.75" bottom="0.75" header="0.3" footer="0.3"/>
</x:worksheet>
</file>