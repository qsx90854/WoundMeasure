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HBVCAM_4M2214HD-2-v11\"/>
    </mc:Choice>
  </mc:AlternateContent>
  <xr:revisionPtr revIDLastSave="0" documentId="13_ncr:1_{42DB95C3-02FD-4906-8D54-0861CE927C31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T14" i="1"/>
  <c r="N14" i="1"/>
  <c r="T26" i="1"/>
  <c r="N26" i="1"/>
  <c r="T21" i="1"/>
  <c r="N21" i="1"/>
  <c r="T28" i="1"/>
  <c r="N28" i="1"/>
  <c r="T7" i="1"/>
  <c r="N7" i="1"/>
  <c r="T23" i="1"/>
  <c r="N23" i="1"/>
  <c r="T29" i="1"/>
  <c r="N29" i="1"/>
  <c r="T12" i="1"/>
  <c r="N12" i="1"/>
  <c r="T5" i="1"/>
  <c r="N5" i="1"/>
  <c r="T9" i="1"/>
  <c r="N9" i="1"/>
  <c r="T13" i="1"/>
  <c r="N13" i="1"/>
  <c r="T33" i="1"/>
  <c r="N33" i="1"/>
  <c r="T16" i="1"/>
  <c r="N16" i="1"/>
  <c r="T3" i="1"/>
  <c r="N3" i="1"/>
  <c r="T24" i="1"/>
  <c r="N24" i="1"/>
  <c r="T17" i="1"/>
  <c r="N17" i="1"/>
  <c r="T22" i="1"/>
  <c r="N22" i="1"/>
  <c r="T32" i="1"/>
  <c r="N32" i="1"/>
  <c r="T31" i="1"/>
  <c r="N31" i="1"/>
  <c r="T10" i="1"/>
  <c r="N10" i="1"/>
  <c r="T8" i="1"/>
  <c r="N8" i="1"/>
  <c r="T2" i="1"/>
  <c r="N2" i="1"/>
  <c r="T27" i="1"/>
  <c r="N27" i="1"/>
  <c r="T20" i="1"/>
  <c r="N20" i="1"/>
  <c r="T6" i="1"/>
  <c r="N6" i="1"/>
  <c r="T34" i="1"/>
  <c r="N34" i="1"/>
  <c r="T15" i="1"/>
  <c r="N15" i="1"/>
  <c r="T25" i="1"/>
  <c r="N25" i="1"/>
  <c r="T11" i="1"/>
  <c r="N11" i="1"/>
  <c r="T4" i="1"/>
  <c r="N4" i="1"/>
  <c r="T18" i="1"/>
  <c r="N18" i="1"/>
  <c r="T30" i="1"/>
  <c r="N30" i="1"/>
  <c r="T19" i="1"/>
  <c r="N19" i="1"/>
  <c r="B10" i="2" l="1"/>
  <c r="B8" i="2"/>
  <c r="B9" i="2"/>
</calcChain>
</file>

<file path=xl/sharedStrings.xml><?xml version="1.0" encoding="utf-8"?>
<sst xmlns="http://schemas.openxmlformats.org/spreadsheetml/2006/main" count="160" uniqueCount="115">
  <si>
    <t>Run #</t>
  </si>
  <si>
    <t>Video File</t>
  </si>
  <si>
    <t>Video Path</t>
  </si>
  <si>
    <t>Status</t>
  </si>
  <si>
    <t>Failure Reason</t>
  </si>
  <si>
    <t>Frame Index</t>
  </si>
  <si>
    <t>Total Frames</t>
  </si>
  <si>
    <t>Rotation Error (deg)</t>
  </si>
  <si>
    <t>Translation L2 Error (mm)</t>
  </si>
  <si>
    <t>Translation Direction Error (deg)</t>
  </si>
  <si>
    <t>Algorithm Baseline (mm)</t>
  </si>
  <si>
    <t>JSON Baseline (mm)</t>
  </si>
  <si>
    <t>Baseline Delta (mm)</t>
  </si>
  <si>
    <t>Baseline Error (%)</t>
  </si>
  <si>
    <t>RT Internal Error (px)</t>
  </si>
  <si>
    <t>Marker Bidirectional RMS (px)</t>
  </si>
  <si>
    <t>Feature Median (px)</t>
  </si>
  <si>
    <t>RT Reliable</t>
  </si>
  <si>
    <t>Processing Time (s)</t>
  </si>
  <si>
    <t>Absolute Baseline Delta (mm)</t>
  </si>
  <si>
    <t>video_20260728_141501.mp4</t>
  </si>
  <si>
    <t>D:\Lightglue\lg_env\HBVCAM_4M2214HD-2-v11\video_20260728_141501.mp4</t>
  </si>
  <si>
    <t>OK</t>
  </si>
  <si>
    <t>video_20260728_142551.mp4</t>
  </si>
  <si>
    <t>D:\Lightglue\lg_env\HBVCAM_4M2214HD-2-v11\video_20260728_142551.mp4</t>
  </si>
  <si>
    <t>QUALITY_WARNING</t>
  </si>
  <si>
    <t>RT result produced, but the analyzer quality flag is false.</t>
  </si>
  <si>
    <t>video_20260728_143043.mp4</t>
  </si>
  <si>
    <t>D:\Lightglue\lg_env\HBVCAM_4M2214HD-2-v11\video_20260728_143043.mp4</t>
  </si>
  <si>
    <t>video_20260728_143958.mp4</t>
  </si>
  <si>
    <t>D:\Lightglue\lg_env\HBVCAM_4M2214HD-2-v11\video_20260728_143958.mp4</t>
  </si>
  <si>
    <t>video_20260728_144526.mp4</t>
  </si>
  <si>
    <t>D:\Lightglue\lg_env\HBVCAM_4M2214HD-2-v11\video_20260728_144526.mp4</t>
  </si>
  <si>
    <t>video_20260728_145142.mp4</t>
  </si>
  <si>
    <t>D:\Lightglue\lg_env\HBVCAM_4M2214HD-2-v11\video_20260728_145142.mp4</t>
  </si>
  <si>
    <t>video_20260728_151045.mp4</t>
  </si>
  <si>
    <t>D:\Lightglue\lg_env\HBVCAM_4M2214HD-2-v11\video_20260728_151045.mp4</t>
  </si>
  <si>
    <t>video_20260728_151439.mp4</t>
  </si>
  <si>
    <t>D:\Lightglue\lg_env\HBVCAM_4M2214HD-2-v11\video_20260728_151439.mp4</t>
  </si>
  <si>
    <t>FAILED</t>
  </si>
  <si>
    <t>IndexError: 影片只有 40 幀，無法讀取 F50。請錄製至少 51 幀。</t>
  </si>
  <si>
    <t>video_20260728_151841.mp4</t>
  </si>
  <si>
    <t>D:\Lightglue\lg_env\HBVCAM_4M2214HD-2-v11\video_20260728_151841.mp4</t>
  </si>
  <si>
    <t>video_20260728_152645.mp4</t>
  </si>
  <si>
    <t>D:\Lightglue\lg_env\HBVCAM_4M2214HD-2-v11\video_20260728_152645.mp4</t>
  </si>
  <si>
    <t>video_20260728_153820.mp4</t>
  </si>
  <si>
    <t>D:\Lightglue\lg_env\HBVCAM_4M2214HD-2-v11\video_20260728_153820.mp4</t>
  </si>
  <si>
    <t>video_20260729_104601.mp4</t>
  </si>
  <si>
    <t>D:\Lightglue\lg_env\HBVCAM_4M2214HD-2-v11\video_20260729_104601.mp4</t>
  </si>
  <si>
    <t>video_20260729_104856.mp4</t>
  </si>
  <si>
    <t>D:\Lightglue\lg_env\HBVCAM_4M2214HD-2-v11\video_20260729_104856.mp4</t>
  </si>
  <si>
    <t>video_20260729_105638.mp4</t>
  </si>
  <si>
    <t>D:\Lightglue\lg_env\HBVCAM_4M2214HD-2-v11\video_20260729_105638.mp4</t>
  </si>
  <si>
    <t>video_20260729_110029.mp4</t>
  </si>
  <si>
    <t>D:\Lightglue\lg_env\HBVCAM_4M2214HD-2-v11\video_20260729_110029.mp4</t>
  </si>
  <si>
    <t>video_20260729_110433.mp4</t>
  </si>
  <si>
    <t>D:\Lightglue\lg_env\HBVCAM_4M2214HD-2-v11\video_20260729_110433.mp4</t>
  </si>
  <si>
    <t>video_20260729_110735.mp4</t>
  </si>
  <si>
    <t>D:\Lightglue\lg_env\HBVCAM_4M2214HD-2-v11\video_20260729_110735.mp4</t>
  </si>
  <si>
    <t>video_20260729_111018.mp4</t>
  </si>
  <si>
    <t>D:\Lightglue\lg_env\HBVCAM_4M2214HD-2-v11\video_20260729_111018.mp4</t>
  </si>
  <si>
    <t>video_20260729_111443.mp4</t>
  </si>
  <si>
    <t>D:\Lightglue\lg_env\HBVCAM_4M2214HD-2-v11\video_20260729_111443.mp4</t>
  </si>
  <si>
    <t>video_20260729_111623.mp4</t>
  </si>
  <si>
    <t>D:\Lightglue\lg_env\HBVCAM_4M2214HD-2-v11\video_20260729_111623.mp4</t>
  </si>
  <si>
    <t>video_20260729_111901.mp4</t>
  </si>
  <si>
    <t>D:\Lightglue\lg_env\HBVCAM_4M2214HD-2-v11\video_20260729_111901.mp4</t>
  </si>
  <si>
    <t>video_20260729_112041.mp4</t>
  </si>
  <si>
    <t>D:\Lightglue\lg_env\HBVCAM_4M2214HD-2-v11\video_20260729_112041.mp4</t>
  </si>
  <si>
    <t>video_20260729_112213.mp4</t>
  </si>
  <si>
    <t>D:\Lightglue\lg_env\HBVCAM_4M2214HD-2-v11\video_20260729_112213.mp4</t>
  </si>
  <si>
    <t>video_20260729_112406.mp4</t>
  </si>
  <si>
    <t>D:\Lightglue\lg_env\HBVCAM_4M2214HD-2-v11\video_20260729_112406.mp4</t>
  </si>
  <si>
    <t>video_20260729_112645.mp4</t>
  </si>
  <si>
    <t>D:\Lightglue\lg_env\HBVCAM_4M2214HD-2-v11\video_20260729_112645.mp4</t>
  </si>
  <si>
    <t>video_20260729_112903.mp4</t>
  </si>
  <si>
    <t>D:\Lightglue\lg_env\HBVCAM_4M2214HD-2-v11\video_20260729_112903.mp4</t>
  </si>
  <si>
    <t>video_20260729_113216.mp4</t>
  </si>
  <si>
    <t>D:\Lightglue\lg_env\HBVCAM_4M2214HD-2-v11\video_20260729_113216.mp4</t>
  </si>
  <si>
    <t>video_20260729_113715.mp4</t>
  </si>
  <si>
    <t>D:\Lightglue\lg_env\HBVCAM_4M2214HD-2-v11\video_20260729_113715.mp4</t>
  </si>
  <si>
    <t>video_20260729_114113.mp4</t>
  </si>
  <si>
    <t>D:\Lightglue\lg_env\HBVCAM_4M2214HD-2-v11\video_20260729_114113.mp4</t>
  </si>
  <si>
    <t>video_20260729_114444.mp4</t>
  </si>
  <si>
    <t>D:\Lightglue\lg_env\HBVCAM_4M2214HD-2-v11\video_20260729_114444.mp4</t>
  </si>
  <si>
    <t>video_20260729_114726.mp4</t>
  </si>
  <si>
    <t>D:\Lightglue\lg_env\HBVCAM_4M2214HD-2-v11\video_20260729_114726.mp4</t>
  </si>
  <si>
    <t>video_20260729_114939.mp4</t>
  </si>
  <si>
    <t>D:\Lightglue\lg_env\HBVCAM_4M2214HD-2-v11\video_20260729_114939.mp4</t>
  </si>
  <si>
    <t>video_20260729_115420.mp4</t>
  </si>
  <si>
    <t>D:\Lightglue\lg_env\HBVCAM_4M2214HD-2-v11\video_20260729_115420.mp4</t>
  </si>
  <si>
    <t>Metric</t>
  </si>
  <si>
    <t>Value</t>
  </si>
  <si>
    <t>Total Videos</t>
  </si>
  <si>
    <t>RT Results Produced</t>
  </si>
  <si>
    <t>Quality OK</t>
  </si>
  <si>
    <t>Quality Warnings</t>
  </si>
  <si>
    <t>Failed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</si>
  <si>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</si>
  <si>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</si>
  <si>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</si>
  <si>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</si>
  <si>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</si>
  <si>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</si>
  <si>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2026-07-29T13:06:28</t>
  </si>
  <si>
    <t>Source Folder</t>
  </si>
  <si>
    <t>D:\Lightglue\lg_env\HBVCAM_4M2214HD-2-v11</t>
  </si>
  <si>
    <t>Calibration File</t>
  </si>
  <si>
    <t>D:\Lightglue\lg_env\calibration_result_HBVCAM_4M2214HD-2-v11.json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</si>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</sst>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0" fontId="0" fillId="0" borderId="2" xfId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6" fontId="0" fillId="0" borderId="3" xfId="1" applyNumberFormat="1" applyFont="1" applyBorder="1" applyAlignment="1">
      <alignment vertical="center"/>
    </xf>
    <xf numFmtId="10" fontId="0" fillId="0" borderId="3" xfId="1" applyNumberFormat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2" fontId="0" fillId="0" borderId="3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1" fillId="2" borderId="4" xfId="1" applyFont="1" applyFill="1" applyBorder="1"/>
    <xf numFmtId="0" fontId="0" fillId="0" borderId="4" xfId="1" applyFont="1" applyBorder="1"/>
    <xf numFmtId="0" fontId="2" fillId="0" borderId="4" xfId="1" applyFont="1" applyBorder="1"/>
    <xf numFmtId="176" fontId="0" fillId="0" borderId="4" xfId="1" applyNumberFormat="1" applyFont="1" applyBorder="1"/>
    <xf numFmtId="10" fontId="0" fillId="0" borderId="4" xfId="1" applyNumberFormat="1" applyFont="1" applyBorder="1"/>
    <xf numFmtId="0" fontId="0" fillId="0" borderId="4" xfId="1" applyFont="1" applyBorder="1" applyAlignment="1">
      <alignment wrapText="1"/>
    </xf>
    <xf numFmtId="0" fontId="0" fillId="0" borderId="4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B91C1C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T34" totalsRowShown="0">
  <autoFilter ref="A1:T34" xr:uid="{00000000-000C-0000-FFFF-FFFF00000000}"/>
  <sortState xmlns:xlrd2="http://schemas.microsoft.com/office/spreadsheetml/2017/richdata2" ref="A2:T34">
    <sortCondition ref="I1:I34"/>
  </sortState>
  <tableColumns count="20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4" xr3:uid="{00000000-0010-0000-0000-000004000000}" name="Status"/>
    <tableColumn id="5" xr3:uid="{00000000-0010-0000-0000-000005000000}" name="Failure Reason"/>
    <tableColumn id="6" xr3:uid="{00000000-0010-0000-0000-000006000000}" name="Frame Index"/>
    <tableColumn id="7" xr3:uid="{00000000-0010-0000-0000-000007000000}" name="Total Frames"/>
    <tableColumn id="8" xr3:uid="{00000000-0010-0000-0000-000008000000}" name="Rotation Error (deg)"/>
    <tableColumn id="9" xr3:uid="{00000000-0010-0000-0000-000009000000}" name="Translation L2 Error (mm)"/>
    <tableColumn id="10" xr3:uid="{00000000-0010-0000-0000-00000A000000}" name="Translation Direc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5" xr3:uid="{00000000-0010-0000-0000-00000F000000}" name="RT Internal Error (px)"/>
    <tableColumn id="16" xr3:uid="{00000000-0010-0000-0000-000010000000}" name="Marker Bidirectional RMS (px)"/>
    <tableColumn id="17" xr3:uid="{00000000-0010-0000-0000-000011000000}" name="Feature Median (px)"/>
    <tableColumn id="18" xr3:uid="{00000000-0010-0000-0000-000012000000}" name="RT Reliable"/>
    <tableColumn id="19" xr3:uid="{00000000-0010-0000-0000-000013000000}" name="Processing Time (s)"/>
    <tableColumn id="20" xr3:uid="{00000000-0010-0000-0000-000014000000}" name="Absolute Baseline Delta (m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showGridLines="0" tabSelected="1" topLeftCell="E1" workbookViewId="0">
      <selection activeCell="M21" sqref="M21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18" customWidth="1"/>
    <col min="5" max="5" width="44" customWidth="1"/>
    <col min="6" max="6" width="12" customWidth="1"/>
    <col min="7" max="7" width="13" customWidth="1"/>
    <col min="8" max="8" width="20" customWidth="1"/>
    <col min="9" max="9" width="22" customWidth="1"/>
    <col min="10" max="10" width="27" customWidth="1"/>
    <col min="11" max="11" width="22" customWidth="1"/>
    <col min="12" max="12" width="19" customWidth="1"/>
    <col min="13" max="13" width="20" customWidth="1"/>
    <col min="14" max="14" width="19" customWidth="1"/>
    <col min="15" max="15" width="21" customWidth="1"/>
    <col min="16" max="16" width="28" customWidth="1"/>
    <col min="17" max="17" width="20" customWidth="1"/>
    <col min="18" max="18" width="13" customWidth="1"/>
    <col min="19" max="19" width="19" customWidth="1"/>
    <col min="20" max="20" width="25" customWidth="1"/>
  </cols>
  <sheetData>
    <row r="1" spans="1:20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8.5">
      <c r="A2" s="2">
        <v>12</v>
      </c>
      <c r="B2" s="2" t="s">
        <v>47</v>
      </c>
      <c r="C2" s="13" t="s">
        <v>48</v>
      </c>
      <c r="D2" s="2" t="s">
        <v>22</v>
      </c>
      <c r="E2" s="13"/>
      <c r="F2" s="2">
        <v>50</v>
      </c>
      <c r="G2" s="2">
        <v>102</v>
      </c>
      <c r="H2" s="3">
        <v>0.24318352186314798</v>
      </c>
      <c r="I2" s="3">
        <v>0.81165498736783337</v>
      </c>
      <c r="J2" s="3">
        <v>0.56751075648183069</v>
      </c>
      <c r="K2" s="3">
        <v>61.302671901627583</v>
      </c>
      <c r="L2" s="3">
        <v>61.838279270925206</v>
      </c>
      <c r="M2" s="3">
        <v>-0.53560736929762243</v>
      </c>
      <c r="N2" s="4">
        <f>IFERROR(ABS(M2)/L2,"")</f>
        <v>8.6614209776281967E-3</v>
      </c>
      <c r="O2" s="5">
        <v>0.48460603341581332</v>
      </c>
      <c r="P2" s="5">
        <v>0.23876290032457964</v>
      </c>
      <c r="Q2" s="5">
        <v>0.48460603341581332</v>
      </c>
      <c r="R2" s="6" t="b">
        <v>1</v>
      </c>
      <c r="S2" s="7">
        <v>1.3000709000043571</v>
      </c>
      <c r="T2" s="3">
        <f>IF(M2="","",ABS(M2))</f>
        <v>0.53560736929762243</v>
      </c>
    </row>
    <row r="3" spans="1:20" ht="28.5">
      <c r="A3" s="2">
        <v>20</v>
      </c>
      <c r="B3" s="2" t="s">
        <v>63</v>
      </c>
      <c r="C3" s="13" t="s">
        <v>64</v>
      </c>
      <c r="D3" s="2" t="s">
        <v>22</v>
      </c>
      <c r="E3" s="13"/>
      <c r="F3" s="2">
        <v>50</v>
      </c>
      <c r="G3" s="2">
        <v>149</v>
      </c>
      <c r="H3" s="3">
        <v>6.0774125863133605E-2</v>
      </c>
      <c r="I3" s="3">
        <v>0.94339385709763413</v>
      </c>
      <c r="J3" s="3">
        <v>0.21051004373634347</v>
      </c>
      <c r="K3" s="3">
        <v>60.922235039775494</v>
      </c>
      <c r="L3" s="3">
        <v>61.838279270925206</v>
      </c>
      <c r="M3" s="3">
        <v>-0.91604423114971212</v>
      </c>
      <c r="N3" s="4">
        <f>IFERROR(ABS(M3)/L3,"")</f>
        <v>1.481354659201219E-2</v>
      </c>
      <c r="O3" s="5">
        <v>0.67568554561177208</v>
      </c>
      <c r="P3" s="5">
        <v>0.2263690655368113</v>
      </c>
      <c r="Q3" s="5">
        <v>0.67568554561177208</v>
      </c>
      <c r="R3" s="6" t="b">
        <v>1</v>
      </c>
      <c r="S3" s="7">
        <v>1.2551839000079781</v>
      </c>
      <c r="T3" s="3">
        <f>IF(M3="","",ABS(M3))</f>
        <v>0.91604423114971212</v>
      </c>
    </row>
    <row r="4" spans="1:20" ht="28.5">
      <c r="A4" s="2">
        <v>4</v>
      </c>
      <c r="B4" s="2" t="s">
        <v>29</v>
      </c>
      <c r="C4" s="13" t="s">
        <v>30</v>
      </c>
      <c r="D4" s="2" t="s">
        <v>22</v>
      </c>
      <c r="E4" s="13"/>
      <c r="F4" s="2">
        <v>50</v>
      </c>
      <c r="G4" s="2">
        <v>142</v>
      </c>
      <c r="H4" s="3">
        <v>0.13183811214440957</v>
      </c>
      <c r="I4" s="3">
        <v>1.2877724384145919</v>
      </c>
      <c r="J4" s="3">
        <v>0.747561414846032</v>
      </c>
      <c r="K4" s="3">
        <v>60.829312023116785</v>
      </c>
      <c r="L4" s="3">
        <v>61.838279270925206</v>
      </c>
      <c r="M4" s="3">
        <v>-1.0089672478084211</v>
      </c>
      <c r="N4" s="4">
        <f>IFERROR(ABS(M4)/L4,"")</f>
        <v>1.6316224508575741E-2</v>
      </c>
      <c r="O4" s="5">
        <v>0.22679367761588498</v>
      </c>
      <c r="P4" s="5">
        <v>0.14686331785976944</v>
      </c>
      <c r="Q4" s="5">
        <v>0.22679367761588498</v>
      </c>
      <c r="R4" s="6" t="b">
        <v>1</v>
      </c>
      <c r="S4" s="7">
        <v>1.2990673999302089</v>
      </c>
      <c r="T4" s="3">
        <f>IF(M4="","",ABS(M4))</f>
        <v>1.0089672478084211</v>
      </c>
    </row>
    <row r="5" spans="1:20" ht="28.5">
      <c r="A5" s="2">
        <v>25</v>
      </c>
      <c r="B5" s="2" t="s">
        <v>73</v>
      </c>
      <c r="C5" s="13" t="s">
        <v>74</v>
      </c>
      <c r="D5" s="2" t="s">
        <v>25</v>
      </c>
      <c r="E5" s="13" t="s">
        <v>26</v>
      </c>
      <c r="F5" s="2">
        <v>50</v>
      </c>
      <c r="G5" s="2">
        <v>103</v>
      </c>
      <c r="H5" s="3">
        <v>0.28519963057851261</v>
      </c>
      <c r="I5" s="3">
        <v>1.7161507162375655</v>
      </c>
      <c r="J5" s="3">
        <v>1.3258325464467173</v>
      </c>
      <c r="K5" s="3">
        <v>60.874131938891523</v>
      </c>
      <c r="L5" s="3">
        <v>61.838279270925206</v>
      </c>
      <c r="M5" s="3">
        <v>-0.96414733203368286</v>
      </c>
      <c r="N5" s="4">
        <f>IFERROR(ABS(M5)/L5,"")</f>
        <v>1.5591432093534991E-2</v>
      </c>
      <c r="O5" s="5">
        <v>0.63283904848258832</v>
      </c>
      <c r="P5" s="5">
        <v>8.8152969512963628E-2</v>
      </c>
      <c r="Q5" s="5">
        <v>0.63283904848258832</v>
      </c>
      <c r="R5" s="6" t="b">
        <v>0</v>
      </c>
      <c r="S5" s="7">
        <v>1.0755881000077352</v>
      </c>
      <c r="T5" s="3">
        <f>IF(M5="","",ABS(M5))</f>
        <v>0.96414733203368286</v>
      </c>
    </row>
    <row r="6" spans="1:20" ht="28.5">
      <c r="A6" s="2">
        <v>9</v>
      </c>
      <c r="B6" s="2" t="s">
        <v>41</v>
      </c>
      <c r="C6" s="13" t="s">
        <v>42</v>
      </c>
      <c r="D6" s="2" t="s">
        <v>25</v>
      </c>
      <c r="E6" s="13" t="s">
        <v>26</v>
      </c>
      <c r="F6" s="2">
        <v>50</v>
      </c>
      <c r="G6" s="2">
        <v>104</v>
      </c>
      <c r="H6" s="3">
        <v>0.17714305415181988</v>
      </c>
      <c r="I6" s="3">
        <v>1.9863561659530222</v>
      </c>
      <c r="J6" s="3">
        <v>1.2401784974516565</v>
      </c>
      <c r="K6" s="3">
        <v>60.356039185566758</v>
      </c>
      <c r="L6" s="3">
        <v>61.838279270925206</v>
      </c>
      <c r="M6" s="3">
        <v>-1.4822400853584483</v>
      </c>
      <c r="N6" s="4">
        <f>IFERROR(ABS(M6)/L6,"")</f>
        <v>2.3969620481586719E-2</v>
      </c>
      <c r="O6" s="5">
        <v>0.8563448593778975</v>
      </c>
      <c r="P6" s="5">
        <v>5.5809849579065186E-2</v>
      </c>
      <c r="Q6" s="5">
        <v>0.8563448593778975</v>
      </c>
      <c r="R6" s="6" t="b">
        <v>0</v>
      </c>
      <c r="S6" s="7">
        <v>1.5335242999717593</v>
      </c>
      <c r="T6" s="3">
        <f>IF(M6="","",ABS(M6))</f>
        <v>1.4822400853584483</v>
      </c>
    </row>
    <row r="7" spans="1:20" ht="28.5">
      <c r="A7" s="2">
        <v>29</v>
      </c>
      <c r="B7" s="2" t="s">
        <v>81</v>
      </c>
      <c r="C7" s="13" t="s">
        <v>82</v>
      </c>
      <c r="D7" s="2" t="s">
        <v>22</v>
      </c>
      <c r="E7" s="13"/>
      <c r="F7" s="2">
        <v>50</v>
      </c>
      <c r="G7" s="2">
        <v>97</v>
      </c>
      <c r="H7" s="3">
        <v>0.24384310493538211</v>
      </c>
      <c r="I7" s="3">
        <v>2.005355226704117</v>
      </c>
      <c r="J7" s="3">
        <v>0.31281422220923444</v>
      </c>
      <c r="K7" s="3">
        <v>59.860626232802915</v>
      </c>
      <c r="L7" s="3">
        <v>61.838279270925206</v>
      </c>
      <c r="M7" s="3">
        <v>-1.9776530381222912</v>
      </c>
      <c r="N7" s="4">
        <f>IFERROR(ABS(M7)/L7,"")</f>
        <v>3.1981048978704907E-2</v>
      </c>
      <c r="O7" s="5">
        <v>0.33651407442612891</v>
      </c>
      <c r="P7" s="5">
        <v>9.5228814278280741E-2</v>
      </c>
      <c r="Q7" s="5">
        <v>0.33651407442612891</v>
      </c>
      <c r="R7" s="6" t="b">
        <v>1</v>
      </c>
      <c r="S7" s="7">
        <v>1.4182346001034603</v>
      </c>
      <c r="T7" s="3">
        <f>IF(M7="","",ABS(M7))</f>
        <v>1.9776530381222912</v>
      </c>
    </row>
    <row r="8" spans="1:20" ht="28.5">
      <c r="A8" s="2">
        <v>13</v>
      </c>
      <c r="B8" s="2" t="s">
        <v>49</v>
      </c>
      <c r="C8" s="13" t="s">
        <v>50</v>
      </c>
      <c r="D8" s="2" t="s">
        <v>22</v>
      </c>
      <c r="E8" s="13"/>
      <c r="F8" s="2">
        <v>50</v>
      </c>
      <c r="G8" s="2">
        <v>125</v>
      </c>
      <c r="H8" s="3">
        <v>0.40660705111953827</v>
      </c>
      <c r="I8" s="3">
        <v>2.0253359765493135</v>
      </c>
      <c r="J8" s="3">
        <v>0.45692899705167256</v>
      </c>
      <c r="K8" s="3">
        <v>59.871932773290801</v>
      </c>
      <c r="L8" s="3">
        <v>61.838279270925206</v>
      </c>
      <c r="M8" s="3">
        <v>-1.9663464976344045</v>
      </c>
      <c r="N8" s="4">
        <f>IFERROR(ABS(M8)/L8,"")</f>
        <v>3.1798208501557235E-2</v>
      </c>
      <c r="O8" s="5">
        <v>0.47524216851332113</v>
      </c>
      <c r="P8" s="5">
        <v>4.2528461383776736E-2</v>
      </c>
      <c r="Q8" s="5">
        <v>0.47524216851332113</v>
      </c>
      <c r="R8" s="6" t="b">
        <v>1</v>
      </c>
      <c r="S8" s="7">
        <v>1.0584379999199882</v>
      </c>
      <c r="T8" s="3">
        <f>IF(M8="","",ABS(M8))</f>
        <v>1.9663464976344045</v>
      </c>
    </row>
    <row r="9" spans="1:20" ht="28.5">
      <c r="A9" s="2">
        <v>24</v>
      </c>
      <c r="B9" s="2" t="s">
        <v>71</v>
      </c>
      <c r="C9" s="13" t="s">
        <v>72</v>
      </c>
      <c r="D9" s="2" t="s">
        <v>25</v>
      </c>
      <c r="E9" s="13" t="s">
        <v>26</v>
      </c>
      <c r="F9" s="2">
        <v>50</v>
      </c>
      <c r="G9" s="2">
        <v>113</v>
      </c>
      <c r="H9" s="3">
        <v>0.26149501799759783</v>
      </c>
      <c r="I9" s="3">
        <v>2.0454535745853897</v>
      </c>
      <c r="J9" s="3">
        <v>0.90849630620994415</v>
      </c>
      <c r="K9" s="3">
        <v>60.035363692454084</v>
      </c>
      <c r="L9" s="3">
        <v>61.838279270925206</v>
      </c>
      <c r="M9" s="3">
        <v>-1.8029155784711222</v>
      </c>
      <c r="N9" s="4">
        <f>IFERROR(ABS(M9)/L9,"")</f>
        <v>2.9155332259039868E-2</v>
      </c>
      <c r="O9" s="5">
        <v>0.72048776561851302</v>
      </c>
      <c r="P9" s="5">
        <v>6.9137416332340315E-2</v>
      </c>
      <c r="Q9" s="5">
        <v>0.72048776561851302</v>
      </c>
      <c r="R9" s="6" t="b">
        <v>0</v>
      </c>
      <c r="S9" s="7">
        <v>0.82362150005064905</v>
      </c>
      <c r="T9" s="3">
        <f>IF(M9="","",ABS(M9))</f>
        <v>1.8029155784711222</v>
      </c>
    </row>
    <row r="10" spans="1:20" ht="28.5">
      <c r="A10" s="2">
        <v>14</v>
      </c>
      <c r="B10" s="2" t="s">
        <v>51</v>
      </c>
      <c r="C10" s="13" t="s">
        <v>52</v>
      </c>
      <c r="D10" s="2" t="s">
        <v>22</v>
      </c>
      <c r="E10" s="13"/>
      <c r="F10" s="2">
        <v>50</v>
      </c>
      <c r="G10" s="2">
        <v>114</v>
      </c>
      <c r="H10" s="3">
        <v>0.42347739424335534</v>
      </c>
      <c r="I10" s="3">
        <v>2.1548790626811303</v>
      </c>
      <c r="J10" s="3">
        <v>0.551789415972464</v>
      </c>
      <c r="K10" s="3">
        <v>59.764457392846808</v>
      </c>
      <c r="L10" s="3">
        <v>61.838279270925206</v>
      </c>
      <c r="M10" s="3">
        <v>-2.0738218780783981</v>
      </c>
      <c r="N10" s="4">
        <f>IFERROR(ABS(M10)/L10,"")</f>
        <v>3.3536215795924591E-2</v>
      </c>
      <c r="O10" s="5">
        <v>0.4990266738799789</v>
      </c>
      <c r="P10" s="5">
        <v>0.43651651586582602</v>
      </c>
      <c r="Q10" s="5">
        <v>0.4990266738799789</v>
      </c>
      <c r="R10" s="6" t="b">
        <v>1</v>
      </c>
      <c r="S10" s="7">
        <v>1.2207573999185115</v>
      </c>
      <c r="T10" s="3">
        <f>IF(M10="","",ABS(M10))</f>
        <v>2.0738218780783981</v>
      </c>
    </row>
    <row r="11" spans="1:20" ht="28.5">
      <c r="A11" s="2">
        <v>5</v>
      </c>
      <c r="B11" s="2" t="s">
        <v>31</v>
      </c>
      <c r="C11" s="13" t="s">
        <v>32</v>
      </c>
      <c r="D11" s="2" t="s">
        <v>22</v>
      </c>
      <c r="E11" s="13"/>
      <c r="F11" s="2">
        <v>50</v>
      </c>
      <c r="G11" s="2">
        <v>104</v>
      </c>
      <c r="H11" s="3">
        <v>0.84991601255571747</v>
      </c>
      <c r="I11" s="3">
        <v>2.2575297305592623</v>
      </c>
      <c r="J11" s="3">
        <v>2.0902795080335319</v>
      </c>
      <c r="K11" s="3">
        <v>61.892846659670965</v>
      </c>
      <c r="L11" s="3">
        <v>61.838279270925206</v>
      </c>
      <c r="M11" s="3">
        <v>5.4567388745759615E-2</v>
      </c>
      <c r="N11" s="4">
        <f>IFERROR(ABS(M11)/L11,"")</f>
        <v>8.8242087892985443E-4</v>
      </c>
      <c r="O11" s="5">
        <v>0.58658463614818412</v>
      </c>
      <c r="P11" s="5">
        <v>0.24116719316827787</v>
      </c>
      <c r="Q11" s="5">
        <v>0.58658463614818412</v>
      </c>
      <c r="R11" s="6" t="b">
        <v>1</v>
      </c>
      <c r="S11" s="7">
        <v>1.0818633999442682</v>
      </c>
      <c r="T11" s="3">
        <f>IF(M11="","",ABS(M11))</f>
        <v>5.4567388745759615E-2</v>
      </c>
    </row>
    <row r="12" spans="1:20" ht="28.5">
      <c r="A12" s="2">
        <v>26</v>
      </c>
      <c r="B12" s="2" t="s">
        <v>75</v>
      </c>
      <c r="C12" s="13" t="s">
        <v>76</v>
      </c>
      <c r="D12" s="2" t="s">
        <v>22</v>
      </c>
      <c r="E12" s="13"/>
      <c r="F12" s="2">
        <v>50</v>
      </c>
      <c r="G12" s="2">
        <v>94</v>
      </c>
      <c r="H12" s="3">
        <v>0.51233034321891868</v>
      </c>
      <c r="I12" s="3">
        <v>2.7648769676513574</v>
      </c>
      <c r="J12" s="3">
        <v>1.4806324460498475</v>
      </c>
      <c r="K12" s="3">
        <v>59.561208920681835</v>
      </c>
      <c r="L12" s="3">
        <v>61.838279270925206</v>
      </c>
      <c r="M12" s="3">
        <v>-2.2770703502433705</v>
      </c>
      <c r="N12" s="4">
        <f>IFERROR(ABS(M12)/L12,"")</f>
        <v>3.6822990178415123E-2</v>
      </c>
      <c r="O12" s="5">
        <v>0.71608059400516333</v>
      </c>
      <c r="P12" s="5">
        <v>0.42727223634145328</v>
      </c>
      <c r="Q12" s="5">
        <v>0.71608059400516333</v>
      </c>
      <c r="R12" s="6" t="b">
        <v>1</v>
      </c>
      <c r="S12" s="7">
        <v>0.70932500006165355</v>
      </c>
      <c r="T12" s="3">
        <f>IF(M12="","",ABS(M12))</f>
        <v>2.2770703502433705</v>
      </c>
    </row>
    <row r="13" spans="1:20" ht="28.5">
      <c r="A13" s="2">
        <v>23</v>
      </c>
      <c r="B13" s="2" t="s">
        <v>69</v>
      </c>
      <c r="C13" s="13" t="s">
        <v>70</v>
      </c>
      <c r="D13" s="2" t="s">
        <v>25</v>
      </c>
      <c r="E13" s="13" t="s">
        <v>26</v>
      </c>
      <c r="F13" s="2">
        <v>50</v>
      </c>
      <c r="G13" s="2">
        <v>139</v>
      </c>
      <c r="H13" s="3">
        <v>0.36175940090462838</v>
      </c>
      <c r="I13" s="3">
        <v>2.7869829570746569</v>
      </c>
      <c r="J13" s="3">
        <v>0.53631814684091428</v>
      </c>
      <c r="K13" s="3">
        <v>59.109358517455405</v>
      </c>
      <c r="L13" s="3">
        <v>61.838279270925206</v>
      </c>
      <c r="M13" s="3">
        <v>-2.7289207534698008</v>
      </c>
      <c r="N13" s="4">
        <f>IFERROR(ABS(M13)/L13,"")</f>
        <v>4.4129959398027274E-2</v>
      </c>
      <c r="O13" s="5">
        <v>0.51713893937836652</v>
      </c>
      <c r="P13" s="5">
        <v>6.6903476179114033E-2</v>
      </c>
      <c r="Q13" s="5">
        <v>0.51713893937836652</v>
      </c>
      <c r="R13" s="6" t="b">
        <v>0</v>
      </c>
      <c r="S13" s="7">
        <v>1.1444510999135673</v>
      </c>
      <c r="T13" s="3">
        <f>IF(M13="","",ABS(M13))</f>
        <v>2.7289207534698008</v>
      </c>
    </row>
    <row r="14" spans="1:20" ht="28.5">
      <c r="A14" s="2">
        <v>33</v>
      </c>
      <c r="B14" s="2" t="s">
        <v>89</v>
      </c>
      <c r="C14" s="13" t="s">
        <v>90</v>
      </c>
      <c r="D14" s="2" t="s">
        <v>25</v>
      </c>
      <c r="E14" s="13" t="s">
        <v>26</v>
      </c>
      <c r="F14" s="2">
        <v>50</v>
      </c>
      <c r="G14" s="2">
        <v>106</v>
      </c>
      <c r="H14" s="3">
        <v>0.40595306846043616</v>
      </c>
      <c r="I14" s="3">
        <v>2.7904083724896651</v>
      </c>
      <c r="J14" s="3">
        <v>2.1828036002348181</v>
      </c>
      <c r="K14" s="3">
        <v>60.297083980487479</v>
      </c>
      <c r="L14" s="3">
        <v>61.838279270925206</v>
      </c>
      <c r="M14" s="3">
        <v>-1.5411952904377273</v>
      </c>
      <c r="N14" s="4">
        <f>IFERROR(ABS(M14)/L14,"")</f>
        <v>2.4922997674069473E-2</v>
      </c>
      <c r="O14" s="5">
        <v>5.886788376392036E-2</v>
      </c>
      <c r="P14" s="5">
        <v>5.886788376392036E-2</v>
      </c>
      <c r="Q14" s="5"/>
      <c r="R14" s="6" t="b">
        <v>0</v>
      </c>
      <c r="S14" s="7">
        <v>1.484542699996382</v>
      </c>
      <c r="T14" s="3">
        <f>IF(M14="","",ABS(M14))</f>
        <v>1.5411952904377273</v>
      </c>
    </row>
    <row r="15" spans="1:20" ht="28.5">
      <c r="A15" s="2">
        <v>7</v>
      </c>
      <c r="B15" s="2" t="s">
        <v>35</v>
      </c>
      <c r="C15" s="13" t="s">
        <v>36</v>
      </c>
      <c r="D15" s="2" t="s">
        <v>22</v>
      </c>
      <c r="E15" s="13"/>
      <c r="F15" s="2">
        <v>50</v>
      </c>
      <c r="G15" s="2">
        <v>92</v>
      </c>
      <c r="H15" s="3">
        <v>1.0619422880395148</v>
      </c>
      <c r="I15" s="3">
        <v>2.8543402386313907</v>
      </c>
      <c r="J15" s="3">
        <v>2.6419693713875487</v>
      </c>
      <c r="K15" s="3">
        <v>61.622975285684312</v>
      </c>
      <c r="L15" s="3">
        <v>61.838279270925206</v>
      </c>
      <c r="M15" s="3">
        <v>-0.21530398524089378</v>
      </c>
      <c r="N15" s="4">
        <f>IFERROR(ABS(M15)/L15,"")</f>
        <v>3.4817266550643535E-3</v>
      </c>
      <c r="O15" s="5">
        <v>0.36012004734258263</v>
      </c>
      <c r="P15" s="5">
        <v>0.10092528609744988</v>
      </c>
      <c r="Q15" s="5">
        <v>0.36012004734258263</v>
      </c>
      <c r="R15" s="6" t="b">
        <v>1</v>
      </c>
      <c r="S15" s="7">
        <v>1.4026658000657335</v>
      </c>
      <c r="T15" s="3">
        <f>IF(M15="","",ABS(M15))</f>
        <v>0.21530398524089378</v>
      </c>
    </row>
    <row r="16" spans="1:20" ht="28.5">
      <c r="A16" s="2">
        <v>21</v>
      </c>
      <c r="B16" s="2" t="s">
        <v>65</v>
      </c>
      <c r="C16" s="13" t="s">
        <v>66</v>
      </c>
      <c r="D16" s="2" t="s">
        <v>22</v>
      </c>
      <c r="E16" s="13"/>
      <c r="F16" s="2">
        <v>50</v>
      </c>
      <c r="G16" s="2">
        <v>109</v>
      </c>
      <c r="H16" s="3">
        <v>0.62045378805273799</v>
      </c>
      <c r="I16" s="3">
        <v>2.8923745069060964</v>
      </c>
      <c r="J16" s="3">
        <v>0.32777480886576943</v>
      </c>
      <c r="K16" s="3">
        <v>58.966608123722374</v>
      </c>
      <c r="L16" s="3">
        <v>61.838279270925206</v>
      </c>
      <c r="M16" s="3">
        <v>-2.8716711472028322</v>
      </c>
      <c r="N16" s="4">
        <f>IFERROR(ABS(M16)/L16,"")</f>
        <v>4.6438406454058938E-2</v>
      </c>
      <c r="O16" s="5">
        <v>0.39233503838085043</v>
      </c>
      <c r="P16" s="5">
        <v>0.14760955495498312</v>
      </c>
      <c r="Q16" s="5">
        <v>0.39233503838085043</v>
      </c>
      <c r="R16" s="6" t="b">
        <v>1</v>
      </c>
      <c r="S16" s="7">
        <v>1.1671480999793857</v>
      </c>
      <c r="T16" s="3">
        <f>IF(M16="","",ABS(M16))</f>
        <v>2.8716711472028322</v>
      </c>
    </row>
    <row r="17" spans="1:20" ht="28.5">
      <c r="A17" s="2">
        <v>18</v>
      </c>
      <c r="B17" s="2" t="s">
        <v>59</v>
      </c>
      <c r="C17" s="13" t="s">
        <v>60</v>
      </c>
      <c r="D17" s="2" t="s">
        <v>25</v>
      </c>
      <c r="E17" s="13" t="s">
        <v>26</v>
      </c>
      <c r="F17" s="2">
        <v>50</v>
      </c>
      <c r="G17" s="2">
        <v>128</v>
      </c>
      <c r="H17" s="3">
        <v>0.96999022860111972</v>
      </c>
      <c r="I17" s="3">
        <v>3.0291448808905166</v>
      </c>
      <c r="J17" s="3">
        <v>2.7955261141228185</v>
      </c>
      <c r="K17" s="3">
        <v>61.482400364321123</v>
      </c>
      <c r="L17" s="3">
        <v>61.838279270925206</v>
      </c>
      <c r="M17" s="3">
        <v>-0.35587890660408306</v>
      </c>
      <c r="N17" s="4">
        <f>IFERROR(ABS(M17)/L17,"")</f>
        <v>5.7549936835226316E-3</v>
      </c>
      <c r="O17" s="5">
        <v>0.29247192448220938</v>
      </c>
      <c r="P17" s="5">
        <v>5.5225559629035893E-2</v>
      </c>
      <c r="Q17" s="5">
        <v>0.29247192448220938</v>
      </c>
      <c r="R17" s="6" t="b">
        <v>0</v>
      </c>
      <c r="S17" s="7">
        <v>1.4475388000719249</v>
      </c>
      <c r="T17" s="3">
        <f>IF(M17="","",ABS(M17))</f>
        <v>0.35587890660408306</v>
      </c>
    </row>
    <row r="18" spans="1:20" ht="28.5">
      <c r="A18" s="2">
        <v>3</v>
      </c>
      <c r="B18" s="2" t="s">
        <v>27</v>
      </c>
      <c r="C18" s="13" t="s">
        <v>28</v>
      </c>
      <c r="D18" s="2" t="s">
        <v>22</v>
      </c>
      <c r="E18" s="13"/>
      <c r="F18" s="2">
        <v>50</v>
      </c>
      <c r="G18" s="2">
        <v>118</v>
      </c>
      <c r="H18" s="3">
        <v>0.70981235422857492</v>
      </c>
      <c r="I18" s="3">
        <v>3.2018271395260247</v>
      </c>
      <c r="J18" s="3">
        <v>0.35608866328745264</v>
      </c>
      <c r="K18" s="3">
        <v>58.658406497938138</v>
      </c>
      <c r="L18" s="3">
        <v>61.838279270925206</v>
      </c>
      <c r="M18" s="3">
        <v>-3.1798727729870677</v>
      </c>
      <c r="N18" s="4">
        <f>IFERROR(ABS(M18)/L18,"")</f>
        <v>5.1422400663114237E-2</v>
      </c>
      <c r="O18" s="5">
        <v>0.31459008730170912</v>
      </c>
      <c r="P18" s="5">
        <v>0.12749003425411207</v>
      </c>
      <c r="Q18" s="5">
        <v>0.31459008730170912</v>
      </c>
      <c r="R18" s="6" t="b">
        <v>1</v>
      </c>
      <c r="S18" s="7">
        <v>1.2394146000733599</v>
      </c>
      <c r="T18" s="3">
        <f>IF(M18="","",ABS(M18))</f>
        <v>3.1798727729870677</v>
      </c>
    </row>
    <row r="19" spans="1:20" ht="28.5">
      <c r="A19" s="2">
        <v>1</v>
      </c>
      <c r="B19" s="2" t="s">
        <v>20</v>
      </c>
      <c r="C19" s="13" t="s">
        <v>21</v>
      </c>
      <c r="D19" s="2" t="s">
        <v>22</v>
      </c>
      <c r="E19" s="13"/>
      <c r="F19" s="2">
        <v>50</v>
      </c>
      <c r="G19" s="2">
        <v>84</v>
      </c>
      <c r="H19" s="3">
        <v>1.0119260710990825</v>
      </c>
      <c r="I19" s="3">
        <v>3.2669531450877702</v>
      </c>
      <c r="J19" s="3">
        <v>2.9248335973576896</v>
      </c>
      <c r="K19" s="3">
        <v>60.911107498506361</v>
      </c>
      <c r="L19" s="3">
        <v>61.838279270925206</v>
      </c>
      <c r="M19" s="3">
        <v>-0.92717177241884485</v>
      </c>
      <c r="N19" s="4">
        <f>IFERROR(ABS(M19)/L19,"")</f>
        <v>1.4993492434624996E-2</v>
      </c>
      <c r="O19" s="5">
        <v>0.47045162034363897</v>
      </c>
      <c r="P19" s="5">
        <v>0.21688940341038732</v>
      </c>
      <c r="Q19" s="5">
        <v>0.47045162034363897</v>
      </c>
      <c r="R19" s="6" t="b">
        <v>1</v>
      </c>
      <c r="S19" s="7">
        <v>1.1291083000833169</v>
      </c>
      <c r="T19" s="3">
        <f>IF(M19="","",ABS(M19))</f>
        <v>0.92717177241884485</v>
      </c>
    </row>
    <row r="20" spans="1:20" ht="28.5">
      <c r="A20" s="2">
        <v>10</v>
      </c>
      <c r="B20" s="2" t="s">
        <v>43</v>
      </c>
      <c r="C20" s="13" t="s">
        <v>44</v>
      </c>
      <c r="D20" s="2" t="s">
        <v>22</v>
      </c>
      <c r="E20" s="13"/>
      <c r="F20" s="2">
        <v>50</v>
      </c>
      <c r="G20" s="2">
        <v>82</v>
      </c>
      <c r="H20" s="3">
        <v>0.91876963327319183</v>
      </c>
      <c r="I20" s="3">
        <v>3.8725228316810028</v>
      </c>
      <c r="J20" s="3">
        <v>2.1938508206036653</v>
      </c>
      <c r="K20" s="3">
        <v>58.728189900268788</v>
      </c>
      <c r="L20" s="3">
        <v>61.838279270925206</v>
      </c>
      <c r="M20" s="3">
        <v>-3.1100893706564179</v>
      </c>
      <c r="N20" s="4">
        <f>IFERROR(ABS(M20)/L20,"")</f>
        <v>5.0293918383959677E-2</v>
      </c>
      <c r="O20" s="5">
        <v>0.39933310177102288</v>
      </c>
      <c r="P20" s="5">
        <v>0.23952709771803454</v>
      </c>
      <c r="Q20" s="5">
        <v>0.39933310177102288</v>
      </c>
      <c r="R20" s="6" t="b">
        <v>1</v>
      </c>
      <c r="S20" s="7">
        <v>0.72004939999897033</v>
      </c>
      <c r="T20" s="3">
        <f>IF(M20="","",ABS(M20))</f>
        <v>3.1100893706564179</v>
      </c>
    </row>
    <row r="21" spans="1:20" ht="28.5">
      <c r="A21" s="2">
        <v>31</v>
      </c>
      <c r="B21" s="2" t="s">
        <v>85</v>
      </c>
      <c r="C21" s="13" t="s">
        <v>86</v>
      </c>
      <c r="D21" s="2" t="s">
        <v>25</v>
      </c>
      <c r="E21" s="13" t="s">
        <v>26</v>
      </c>
      <c r="F21" s="2">
        <v>50</v>
      </c>
      <c r="G21" s="2">
        <v>74</v>
      </c>
      <c r="H21" s="3">
        <v>1.7388690922422592</v>
      </c>
      <c r="I21" s="3">
        <v>3.9920058505775931</v>
      </c>
      <c r="J21" s="3">
        <v>2.578204118891338</v>
      </c>
      <c r="K21" s="3">
        <v>64.638973246435839</v>
      </c>
      <c r="L21" s="3">
        <v>61.838279270925206</v>
      </c>
      <c r="M21" s="3">
        <v>2.800693975510633</v>
      </c>
      <c r="N21" s="4">
        <f>IFERROR(ABS(M21)/L21,"")</f>
        <v>4.5290619476008744E-2</v>
      </c>
      <c r="O21" s="5">
        <v>0.55990657094425278</v>
      </c>
      <c r="P21" s="5">
        <v>7.6456865014662159E-2</v>
      </c>
      <c r="Q21" s="5">
        <v>0.55990657094425278</v>
      </c>
      <c r="R21" s="6" t="b">
        <v>0</v>
      </c>
      <c r="S21" s="7">
        <v>1.4973001000471413</v>
      </c>
      <c r="T21" s="3">
        <f>IF(M21="","",ABS(M21))</f>
        <v>2.800693975510633</v>
      </c>
    </row>
    <row r="22" spans="1:20" ht="28.5">
      <c r="A22" s="2">
        <v>17</v>
      </c>
      <c r="B22" s="2" t="s">
        <v>57</v>
      </c>
      <c r="C22" s="13" t="s">
        <v>58</v>
      </c>
      <c r="D22" s="2" t="s">
        <v>25</v>
      </c>
      <c r="E22" s="13" t="s">
        <v>26</v>
      </c>
      <c r="F22" s="2">
        <v>50</v>
      </c>
      <c r="G22" s="2">
        <v>125</v>
      </c>
      <c r="H22" s="3">
        <v>0.72610056828806702</v>
      </c>
      <c r="I22" s="3">
        <v>4.0261629104606351</v>
      </c>
      <c r="J22" s="3">
        <v>1.4103889750556202</v>
      </c>
      <c r="K22" s="3">
        <v>58.092167571575381</v>
      </c>
      <c r="L22" s="3">
        <v>61.838279270925206</v>
      </c>
      <c r="M22" s="3">
        <v>-3.7461116993498251</v>
      </c>
      <c r="N22" s="4">
        <f>IFERROR(ABS(M22)/L22,"")</f>
        <v>6.0579171081675813E-2</v>
      </c>
      <c r="O22" s="5">
        <v>0.39619757979205128</v>
      </c>
      <c r="P22" s="5">
        <v>7.2055374204257408E-2</v>
      </c>
      <c r="Q22" s="5">
        <v>0.39619757979205128</v>
      </c>
      <c r="R22" s="6" t="b">
        <v>0</v>
      </c>
      <c r="S22" s="7">
        <v>0.79272150003816932</v>
      </c>
      <c r="T22" s="3">
        <f>IF(M22="","",ABS(M22))</f>
        <v>3.7461116993498251</v>
      </c>
    </row>
    <row r="23" spans="1:20" ht="28.5">
      <c r="A23" s="2">
        <v>28</v>
      </c>
      <c r="B23" s="2" t="s">
        <v>79</v>
      </c>
      <c r="C23" s="13" t="s">
        <v>80</v>
      </c>
      <c r="D23" s="2" t="s">
        <v>25</v>
      </c>
      <c r="E23" s="13" t="s">
        <v>26</v>
      </c>
      <c r="F23" s="2">
        <v>50</v>
      </c>
      <c r="G23" s="2">
        <v>105</v>
      </c>
      <c r="H23" s="3">
        <v>0.75189319592812864</v>
      </c>
      <c r="I23" s="3">
        <v>4.187368404894646</v>
      </c>
      <c r="J23" s="3">
        <v>1.9314645269006963</v>
      </c>
      <c r="K23" s="3">
        <v>58.171319311849949</v>
      </c>
      <c r="L23" s="3">
        <v>61.838279270925206</v>
      </c>
      <c r="M23" s="3">
        <v>-3.6669599590752568</v>
      </c>
      <c r="N23" s="4">
        <f>IFERROR(ABS(M23)/L23,"")</f>
        <v>5.9299191411999214E-2</v>
      </c>
      <c r="O23" s="5">
        <v>1.0035467053427403</v>
      </c>
      <c r="P23" s="5">
        <v>7.2501293003366163E-2</v>
      </c>
      <c r="Q23" s="5">
        <v>1.0035467053427403</v>
      </c>
      <c r="R23" s="6" t="b">
        <v>0</v>
      </c>
      <c r="S23" s="7">
        <v>1.1085374000249431</v>
      </c>
      <c r="T23" s="3">
        <f>IF(M23="","",ABS(M23))</f>
        <v>3.6669599590752568</v>
      </c>
    </row>
    <row r="24" spans="1:20" ht="28.5">
      <c r="A24" s="2">
        <v>19</v>
      </c>
      <c r="B24" s="2" t="s">
        <v>61</v>
      </c>
      <c r="C24" s="13" t="s">
        <v>62</v>
      </c>
      <c r="D24" s="2" t="s">
        <v>25</v>
      </c>
      <c r="E24" s="13" t="s">
        <v>26</v>
      </c>
      <c r="F24" s="2">
        <v>50</v>
      </c>
      <c r="G24" s="2">
        <v>129</v>
      </c>
      <c r="H24" s="3">
        <v>1.1196582086260882</v>
      </c>
      <c r="I24" s="3">
        <v>4.3040134332725302</v>
      </c>
      <c r="J24" s="3">
        <v>2.611455920851061</v>
      </c>
      <c r="K24" s="3">
        <v>58.520428715839856</v>
      </c>
      <c r="L24" s="3">
        <v>61.838279270925206</v>
      </c>
      <c r="M24" s="3">
        <v>-3.3178505550853501</v>
      </c>
      <c r="N24" s="4">
        <f>IFERROR(ABS(M24)/L24,"")</f>
        <v>5.3653668798726094E-2</v>
      </c>
      <c r="O24" s="5">
        <v>0.68021553642618349</v>
      </c>
      <c r="P24" s="5">
        <v>0.26314504154094293</v>
      </c>
      <c r="Q24" s="5">
        <v>0.68021553642618349</v>
      </c>
      <c r="R24" s="6" t="b">
        <v>0</v>
      </c>
      <c r="S24" s="7">
        <v>1.2036324000218883</v>
      </c>
      <c r="T24" s="3">
        <f>IF(M24="","",ABS(M24))</f>
        <v>3.3178505550853501</v>
      </c>
    </row>
    <row r="25" spans="1:20" ht="28.5">
      <c r="A25" s="2">
        <v>6</v>
      </c>
      <c r="B25" s="2" t="s">
        <v>33</v>
      </c>
      <c r="C25" s="13" t="s">
        <v>34</v>
      </c>
      <c r="D25" s="2" t="s">
        <v>22</v>
      </c>
      <c r="E25" s="13"/>
      <c r="F25" s="2">
        <v>50</v>
      </c>
      <c r="G25" s="2">
        <v>90</v>
      </c>
      <c r="H25" s="3">
        <v>1.2781270068743775</v>
      </c>
      <c r="I25" s="3">
        <v>4.7532386487985709</v>
      </c>
      <c r="J25" s="3">
        <v>2.892692680511245</v>
      </c>
      <c r="K25" s="3">
        <v>58.174169759051757</v>
      </c>
      <c r="L25" s="3">
        <v>61.838279270925206</v>
      </c>
      <c r="M25" s="3">
        <v>-3.6641095118734484</v>
      </c>
      <c r="N25" s="4">
        <f>IFERROR(ABS(M25)/L25,"")</f>
        <v>5.9253096222491752E-2</v>
      </c>
      <c r="O25" s="5">
        <v>0.32418003414440799</v>
      </c>
      <c r="P25" s="5">
        <v>0.16931461046099525</v>
      </c>
      <c r="Q25" s="5">
        <v>0.32418003414440799</v>
      </c>
      <c r="R25" s="6" t="b">
        <v>1</v>
      </c>
      <c r="S25" s="7">
        <v>0.99013169994577765</v>
      </c>
      <c r="T25" s="3">
        <f>IF(M25="","",ABS(M25))</f>
        <v>3.6641095118734484</v>
      </c>
    </row>
    <row r="26" spans="1:20" ht="28.5">
      <c r="A26" s="2">
        <v>32</v>
      </c>
      <c r="B26" s="2" t="s">
        <v>87</v>
      </c>
      <c r="C26" s="13" t="s">
        <v>88</v>
      </c>
      <c r="D26" s="2" t="s">
        <v>22</v>
      </c>
      <c r="E26" s="13"/>
      <c r="F26" s="2">
        <v>50</v>
      </c>
      <c r="G26" s="2">
        <v>113</v>
      </c>
      <c r="H26" s="3">
        <v>1.120065116173421</v>
      </c>
      <c r="I26" s="3">
        <v>4.8248808379420627</v>
      </c>
      <c r="J26" s="3">
        <v>1.3415187805694437</v>
      </c>
      <c r="K26" s="3">
        <v>57.218774894558699</v>
      </c>
      <c r="L26" s="3">
        <v>61.838279270925206</v>
      </c>
      <c r="M26" s="3">
        <v>-4.6195043763665069</v>
      </c>
      <c r="N26" s="4">
        <f>IFERROR(ABS(M26)/L26,"")</f>
        <v>7.4702990297119742E-2</v>
      </c>
      <c r="O26" s="5">
        <v>0.26264306846969432</v>
      </c>
      <c r="P26" s="5">
        <v>0.25115529925412877</v>
      </c>
      <c r="Q26" s="5">
        <v>0.26264306846969432</v>
      </c>
      <c r="R26" s="6" t="b">
        <v>1</v>
      </c>
      <c r="S26" s="7">
        <v>1.1479360000230372</v>
      </c>
      <c r="T26" s="3">
        <f>IF(M26="","",ABS(M26))</f>
        <v>4.6195043763665069</v>
      </c>
    </row>
    <row r="27" spans="1:20" ht="28.5">
      <c r="A27" s="2">
        <v>11</v>
      </c>
      <c r="B27" s="2" t="s">
        <v>45</v>
      </c>
      <c r="C27" s="13" t="s">
        <v>46</v>
      </c>
      <c r="D27" s="2" t="s">
        <v>22</v>
      </c>
      <c r="E27" s="13"/>
      <c r="F27" s="2">
        <v>50</v>
      </c>
      <c r="G27" s="2">
        <v>114</v>
      </c>
      <c r="H27" s="3">
        <v>1.0728029268641825</v>
      </c>
      <c r="I27" s="3">
        <v>5.086855137897758</v>
      </c>
      <c r="J27" s="3">
        <v>2.37851753721917</v>
      </c>
      <c r="K27" s="3">
        <v>57.392973110981693</v>
      </c>
      <c r="L27" s="3">
        <v>61.838279270925206</v>
      </c>
      <c r="M27" s="3">
        <v>-4.4453061599435131</v>
      </c>
      <c r="N27" s="4">
        <f>IFERROR(ABS(M27)/L27,"")</f>
        <v>7.1885993794681538E-2</v>
      </c>
      <c r="O27" s="5">
        <v>0.31421422526843568</v>
      </c>
      <c r="P27" s="5">
        <v>0.31421422526843568</v>
      </c>
      <c r="Q27" s="5">
        <v>0.29002410667739831</v>
      </c>
      <c r="R27" s="6" t="b">
        <v>1</v>
      </c>
      <c r="S27" s="7">
        <v>1.4155728999758139</v>
      </c>
      <c r="T27" s="3">
        <f>IF(M27="","",ABS(M27))</f>
        <v>4.4453061599435131</v>
      </c>
    </row>
    <row r="28" spans="1:20" ht="28.5">
      <c r="A28" s="2">
        <v>30</v>
      </c>
      <c r="B28" s="2" t="s">
        <v>83</v>
      </c>
      <c r="C28" s="13" t="s">
        <v>84</v>
      </c>
      <c r="D28" s="2" t="s">
        <v>22</v>
      </c>
      <c r="E28" s="13"/>
      <c r="F28" s="2">
        <v>50</v>
      </c>
      <c r="G28" s="2">
        <v>110</v>
      </c>
      <c r="H28" s="3">
        <v>2.6977273376504103</v>
      </c>
      <c r="I28" s="3">
        <v>8.7375950110663414</v>
      </c>
      <c r="J28" s="3">
        <v>3.1524508222416601</v>
      </c>
      <c r="K28" s="3">
        <v>53.696035318516998</v>
      </c>
      <c r="L28" s="3">
        <v>61.838279270925206</v>
      </c>
      <c r="M28" s="3">
        <v>-8.142243952408208</v>
      </c>
      <c r="N28" s="4">
        <f>IFERROR(ABS(M28)/L28,"")</f>
        <v>0.13166996314265952</v>
      </c>
      <c r="O28" s="5">
        <v>0.71409108844100755</v>
      </c>
      <c r="P28" s="5">
        <v>0.57986012156803013</v>
      </c>
      <c r="Q28" s="5">
        <v>0.71409108844100755</v>
      </c>
      <c r="R28" s="6" t="b">
        <v>1</v>
      </c>
      <c r="S28" s="7">
        <v>1.2925408000592142</v>
      </c>
      <c r="T28" s="3">
        <f>IF(M28="","",ABS(M28))</f>
        <v>8.142243952408208</v>
      </c>
    </row>
    <row r="29" spans="1:20" ht="28.5">
      <c r="A29" s="2">
        <v>27</v>
      </c>
      <c r="B29" s="2" t="s">
        <v>77</v>
      </c>
      <c r="C29" s="13" t="s">
        <v>78</v>
      </c>
      <c r="D29" s="2" t="s">
        <v>25</v>
      </c>
      <c r="E29" s="13" t="s">
        <v>26</v>
      </c>
      <c r="F29" s="2">
        <v>50</v>
      </c>
      <c r="G29" s="2">
        <v>111</v>
      </c>
      <c r="H29" s="3">
        <v>3.412056685107796</v>
      </c>
      <c r="I29" s="3">
        <v>9.1047926303070152</v>
      </c>
      <c r="J29" s="3">
        <v>4.2816026858299363</v>
      </c>
      <c r="K29" s="3">
        <v>69.513170571438494</v>
      </c>
      <c r="L29" s="3">
        <v>61.838279270925206</v>
      </c>
      <c r="M29" s="3">
        <v>7.6748913005132877</v>
      </c>
      <c r="N29" s="4">
        <f>IFERROR(ABS(M29)/L29,"")</f>
        <v>0.12411230375425125</v>
      </c>
      <c r="O29" s="5">
        <v>0.37380898977240906</v>
      </c>
      <c r="P29" s="5">
        <v>3.2112969257897382E-2</v>
      </c>
      <c r="Q29" s="5">
        <v>0.37380898977240906</v>
      </c>
      <c r="R29" s="6" t="b">
        <v>0</v>
      </c>
      <c r="S29" s="7">
        <v>1.1296328000025824</v>
      </c>
      <c r="T29" s="3">
        <f>IF(M29="","",ABS(M29))</f>
        <v>7.6748913005132877</v>
      </c>
    </row>
    <row r="30" spans="1:20" ht="28.5">
      <c r="A30" s="2">
        <v>2</v>
      </c>
      <c r="B30" s="2" t="s">
        <v>23</v>
      </c>
      <c r="C30" s="13" t="s">
        <v>24</v>
      </c>
      <c r="D30" s="2" t="s">
        <v>25</v>
      </c>
      <c r="E30" s="13" t="s">
        <v>26</v>
      </c>
      <c r="F30" s="2">
        <v>50</v>
      </c>
      <c r="G30" s="2">
        <v>150</v>
      </c>
      <c r="H30" s="3">
        <v>3.2934260029668492</v>
      </c>
      <c r="I30" s="3">
        <v>11.900981230413279</v>
      </c>
      <c r="J30" s="3">
        <v>9.710887258273095</v>
      </c>
      <c r="K30" s="3">
        <v>55.222097915950869</v>
      </c>
      <c r="L30" s="3">
        <v>61.838279270925206</v>
      </c>
      <c r="M30" s="3">
        <v>-6.6161813549743371</v>
      </c>
      <c r="N30" s="4">
        <f>IFERROR(ABS(M30)/L30,"")</f>
        <v>0.10699167947393223</v>
      </c>
      <c r="O30" s="5">
        <v>1.0503914143587418</v>
      </c>
      <c r="P30" s="5">
        <v>0.14128605323333496</v>
      </c>
      <c r="Q30" s="5">
        <v>1.0503914143587418</v>
      </c>
      <c r="R30" s="6" t="b">
        <v>0</v>
      </c>
      <c r="S30" s="7">
        <v>1.026257999939844</v>
      </c>
      <c r="T30" s="3">
        <f>IF(M30="","",ABS(M30))</f>
        <v>6.6161813549743371</v>
      </c>
    </row>
    <row r="31" spans="1:20" ht="28.5">
      <c r="A31" s="2">
        <v>15</v>
      </c>
      <c r="B31" s="2" t="s">
        <v>53</v>
      </c>
      <c r="C31" s="13" t="s">
        <v>54</v>
      </c>
      <c r="D31" s="2" t="s">
        <v>25</v>
      </c>
      <c r="E31" s="13" t="s">
        <v>26</v>
      </c>
      <c r="F31" s="2">
        <v>50</v>
      </c>
      <c r="G31" s="2">
        <v>105</v>
      </c>
      <c r="H31" s="3">
        <v>3.5823282169422637</v>
      </c>
      <c r="I31" s="3">
        <v>16.992906594895214</v>
      </c>
      <c r="J31" s="3">
        <v>5.3219106135596368</v>
      </c>
      <c r="K31" s="3">
        <v>77.567398347374294</v>
      </c>
      <c r="L31" s="3">
        <v>61.838279270925206</v>
      </c>
      <c r="M31" s="3">
        <v>15.729119076449088</v>
      </c>
      <c r="N31" s="4">
        <f>IFERROR(ABS(M31)/L31,"")</f>
        <v>0.25435893853929603</v>
      </c>
      <c r="O31" s="5">
        <v>1.4495867031416707</v>
      </c>
      <c r="P31" s="5">
        <v>0.1423085802081088</v>
      </c>
      <c r="Q31" s="5">
        <v>1.4495867031416707</v>
      </c>
      <c r="R31" s="6" t="b">
        <v>0</v>
      </c>
      <c r="S31" s="7">
        <v>1.1234505000757053</v>
      </c>
      <c r="T31" s="3">
        <f>IF(M31="","",ABS(M31))</f>
        <v>15.729119076449088</v>
      </c>
    </row>
    <row r="32" spans="1:20" ht="28.5">
      <c r="A32" s="2">
        <v>16</v>
      </c>
      <c r="B32" s="2" t="s">
        <v>55</v>
      </c>
      <c r="C32" s="13" t="s">
        <v>56</v>
      </c>
      <c r="D32" s="2" t="s">
        <v>25</v>
      </c>
      <c r="E32" s="13" t="s">
        <v>26</v>
      </c>
      <c r="F32" s="2">
        <v>50</v>
      </c>
      <c r="G32" s="2">
        <v>108</v>
      </c>
      <c r="H32" s="3">
        <v>38.391953166348301</v>
      </c>
      <c r="I32" s="3">
        <v>108.43878211142605</v>
      </c>
      <c r="J32" s="3">
        <v>131.8164905438102</v>
      </c>
      <c r="K32" s="3">
        <v>56.927292672987932</v>
      </c>
      <c r="L32" s="3">
        <v>61.838279270925206</v>
      </c>
      <c r="M32" s="3">
        <v>-4.9109865979372742</v>
      </c>
      <c r="N32" s="4">
        <f>IFERROR(ABS(M32)/L32,"")</f>
        <v>7.941661145552438E-2</v>
      </c>
      <c r="O32" s="5">
        <v>0.49092857842598381</v>
      </c>
      <c r="P32" s="5">
        <v>0.35645226267977581</v>
      </c>
      <c r="Q32" s="5">
        <v>0.49092857842598381</v>
      </c>
      <c r="R32" s="6" t="b">
        <v>0</v>
      </c>
      <c r="S32" s="7">
        <v>1.3414201000705361</v>
      </c>
      <c r="T32" s="3">
        <f>IF(M32="","",ABS(M32))</f>
        <v>4.9109865979372742</v>
      </c>
    </row>
    <row r="33" spans="1:20" ht="28.5">
      <c r="A33" s="2">
        <v>22</v>
      </c>
      <c r="B33" s="2" t="s">
        <v>67</v>
      </c>
      <c r="C33" s="13" t="s">
        <v>68</v>
      </c>
      <c r="D33" s="2" t="s">
        <v>25</v>
      </c>
      <c r="E33" s="13" t="s">
        <v>26</v>
      </c>
      <c r="F33" s="2">
        <v>50</v>
      </c>
      <c r="G33" s="2">
        <v>122</v>
      </c>
      <c r="H33" s="3">
        <v>36.312378728276038</v>
      </c>
      <c r="I33" s="3">
        <v>120.44744919178873</v>
      </c>
      <c r="J33" s="3">
        <v>161.8472517089983</v>
      </c>
      <c r="K33" s="3">
        <v>60.13611948671749</v>
      </c>
      <c r="L33" s="3">
        <v>61.838279270925206</v>
      </c>
      <c r="M33" s="3">
        <v>-1.7021597842077156</v>
      </c>
      <c r="N33" s="4">
        <f>IFERROR(ABS(M33)/L33,"")</f>
        <v>2.7525988825630666E-2</v>
      </c>
      <c r="O33" s="5">
        <v>0.70068742408722584</v>
      </c>
      <c r="P33" s="5">
        <v>0.70068742408722584</v>
      </c>
      <c r="Q33" s="5">
        <v>0.37404469324691086</v>
      </c>
      <c r="R33" s="6" t="b">
        <v>0</v>
      </c>
      <c r="S33" s="7">
        <v>1.2663218000670895</v>
      </c>
      <c r="T33" s="3">
        <f>IF(M33="","",ABS(M33))</f>
        <v>1.7021597842077156</v>
      </c>
    </row>
    <row r="34" spans="1:20" ht="28.5">
      <c r="A34" s="8">
        <v>8</v>
      </c>
      <c r="B34" s="8" t="s">
        <v>37</v>
      </c>
      <c r="C34" s="14" t="s">
        <v>38</v>
      </c>
      <c r="D34" s="8" t="s">
        <v>39</v>
      </c>
      <c r="E34" s="14" t="s">
        <v>40</v>
      </c>
      <c r="F34" s="8">
        <v>50</v>
      </c>
      <c r="G34" s="8"/>
      <c r="H34" s="9"/>
      <c r="I34" s="9"/>
      <c r="J34" s="9"/>
      <c r="K34" s="9"/>
      <c r="L34" s="9"/>
      <c r="M34" s="9"/>
      <c r="N34" s="10" t="str">
        <f>IFERROR(ABS(M34)/L34,"")</f>
        <v/>
      </c>
      <c r="O34" s="11"/>
      <c r="P34" s="11"/>
      <c r="Q34" s="11"/>
      <c r="R34" s="8"/>
      <c r="S34" s="12">
        <v>1.3690499938093126E-2</v>
      </c>
      <c r="T34" s="9" t="str">
        <f>IF(M34="","",ABS(M34))</f>
        <v/>
      </c>
    </row>
  </sheetData>
  <phoneticPr fontId="4" type="noConversion"/>
  <conditionalFormatting sqref="D2:D34">
    <cfRule type="containsText" dxfId="2" priority="1" operator="containsText" text="FAILED"/>
    <cfRule type="containsText" dxfId="1" priority="2" operator="containsText" text="QUALITY_WARNING"/>
    <cfRule type="containsText" dxfId="0" priority="3" operator="containsText" text="OK"/>
  </conditionalFormatting>
  <conditionalFormatting sqref="N2:N34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4.25"/>
  <cols>
    <col min="1" max="1" width="38" customWidth="1"/>
    <col min="2" max="2" width="22" customWidth="1"/>
  </cols>
  <sheetData>
    <row r="1" spans="1:2" ht="15">
      <c r="A1" s="15" t="s">
        <v>91</v>
      </c>
      <c r="B1" s="15" t="s">
        <v>92</v>
      </c>
    </row>
    <row r="2" spans="1:2" ht="15">
      <c r="A2" s="17" t="s">
        <v>93</v>
      </c>
      <c r="B2" s="16">
        <f>COUNTA('RT Results'!B2:B34)</f>
        <v>33</v>
      </c>
    </row>
    <row r="3" spans="1:2" ht="15">
      <c r="A3" s="17" t="s">
        <v>94</v>
      </c>
      <c r="B3" s="16">
        <f>COUNT('RT Results'!K2:K34)</f>
        <v>32</v>
      </c>
    </row>
    <row r="4" spans="1:2" ht="15">
      <c r="A4" s="17" t="s">
        <v>95</v>
      </c>
      <c r="B4" s="16">
        <f>COUNTIF('RT Results'!D2:D34,"OK")</f>
        <v>17</v>
      </c>
    </row>
    <row r="5" spans="1:2" ht="15">
      <c r="A5" s="17" t="s">
        <v>96</v>
      </c>
      <c r="B5" s="16">
        <f>COUNTIF('RT Results'!D2:D34,"QUALITY_WARNING")</f>
        <v>15</v>
      </c>
    </row>
    <row r="6" spans="1:2" ht="15">
      <c r="A6" s="17" t="s">
        <v>97</v>
      </c>
      <c r="B6" s="16">
        <f>COUNTIF('RT Results'!D2:D34,"FAILED")</f>
        <v>1</v>
      </c>
    </row>
    <row r="7" spans="1:2" ht="15">
      <c r="A7" s="17" t="s">
        <v>98</v>
      </c>
      <c r="B7" s="18">
        <f>IFERROR(AVERAGE('RT Results'!H2:H34),"")</f>
        <v>3.2860562641755937</v>
      </c>
    </row>
    <row r="8" spans="1:2" ht="15">
      <c r="A8" s="17" t="s">
        <v>99</v>
      </c>
      <c r="B8" s="18">
        <f>IFERROR(AVERAGE('RT Results'!T2:T34),"")</f>
        <v>3.1570501031142291</v>
      </c>
    </row>
    <row r="9" spans="1:2" ht="15">
      <c r="A9" s="17" t="s">
        <v>100</v>
      </c>
      <c r="B9" s="19">
        <f>IFERROR(AVERAGE('RT Results'!N2:N34),"")</f>
        <v>5.1053330402073382E-2</v>
      </c>
    </row>
    <row r="10" spans="1:2" ht="15">
      <c r="A10" s="17" t="s">
        <v>101</v>
      </c>
      <c r="B10" s="19">
        <f>IFERROR(MAX('RT Results'!N2:N34),"")</f>
        <v>0.25435893853929603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38" customWidth="1"/>
    <col min="2" max="2" width="78" customWidth="1"/>
  </cols>
  <sheetData>
    <row r="1" spans="1:2" ht="15">
      <c r="A1" s="15" t="s">
        <v>102</v>
      </c>
      <c r="B1" s="15" t="s">
        <v>92</v>
      </c>
    </row>
    <row r="2" spans="1:2" ht="15">
      <c r="A2" s="17" t="s">
        <v>103</v>
      </c>
      <c r="B2" s="20" t="s">
        <v>104</v>
      </c>
    </row>
    <row r="3" spans="1:2" ht="15">
      <c r="A3" s="17" t="s">
        <v>105</v>
      </c>
      <c r="B3" s="20" t="s">
        <v>106</v>
      </c>
    </row>
    <row r="4" spans="1:2" ht="15">
      <c r="A4" s="17" t="s">
        <v>107</v>
      </c>
      <c r="B4" s="20" t="s">
        <v>108</v>
      </c>
    </row>
    <row r="5" spans="1:2" ht="15">
      <c r="A5" s="17" t="s">
        <v>109</v>
      </c>
      <c r="B5" s="20">
        <v>50</v>
      </c>
    </row>
    <row r="6" spans="1:2" ht="15">
      <c r="A6" s="17" t="s">
        <v>110</v>
      </c>
      <c r="B6" s="21" t="b">
        <v>0</v>
      </c>
    </row>
    <row r="7" spans="1:2" ht="15">
      <c r="A7" s="17" t="s">
        <v>111</v>
      </c>
      <c r="B7" s="20" t="s">
        <v>112</v>
      </c>
    </row>
    <row r="8" spans="1:2" ht="15">
      <c r="A8" s="17" t="s">
        <v>113</v>
      </c>
      <c r="B8" s="20" t="s">
        <v>114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modified xsi:type="dcterms:W3CDTF">2026-07-29T06:29:30Z</dcterms:modified>
</cp:coreProperties>
</file>