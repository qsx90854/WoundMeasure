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ightglue\lg_env\HBVCAM_4M2214HD-2-v11_\model1\"/>
    </mc:Choice>
  </mc:AlternateContent>
  <xr:revisionPtr revIDLastSave="0" documentId="8_{B51BAF09-0C44-4A61-A833-71B951C3DE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T Results" sheetId="1" r:id="rId1"/>
    <sheet name="Summary" sheetId="2" r:id="rId2"/>
    <sheet name="Protoco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H13" i="1"/>
  <c r="H15" i="1"/>
  <c r="H17" i="1"/>
  <c r="H9" i="1"/>
  <c r="H8" i="1"/>
  <c r="H4" i="1"/>
  <c r="H14" i="1"/>
  <c r="H10" i="1"/>
  <c r="H7" i="1"/>
  <c r="H3" i="1"/>
  <c r="H12" i="1"/>
  <c r="H2" i="1"/>
  <c r="H6" i="1"/>
  <c r="H11" i="1"/>
  <c r="H16" i="1"/>
  <c r="H5" i="1"/>
  <c r="B5" i="2" l="1"/>
  <c r="B7" i="2"/>
  <c r="B6" i="2"/>
</calcChain>
</file>

<file path=xl/sharedStrings.xml><?xml version="1.0" encoding="utf-8"?>
<sst xmlns="http://schemas.openxmlformats.org/spreadsheetml/2006/main" count="65" uniqueCount="64">
  <si>
    <t>Run #</t>
  </si>
  <si>
    <t>Video File</t>
  </si>
  <si>
    <t>Video Path</t>
  </si>
  <si>
    <t>Rotation Error (deg)</t>
  </si>
  <si>
    <t>Algorithm Baseline (mm)</t>
  </si>
  <si>
    <t>JSON Baseline (mm)</t>
  </si>
  <si>
    <t>Baseline Delta (mm)</t>
  </si>
  <si>
    <t>Baseline Error (%)</t>
  </si>
  <si>
    <t>Marker Bidirectional RMS (px)</t>
  </si>
  <si>
    <t>Feature Median (px)</t>
  </si>
  <si>
    <t>Processing Time (s)</t>
  </si>
  <si>
    <t>video_20260728_141501.mp4</t>
  </si>
  <si>
    <t>D:\Lightglue\lg_env\HBVCAM_4M2214HD-2-v11_\model1\video_20260728_141501.mp4</t>
  </si>
  <si>
    <t>video_20260728_142551.mp4</t>
  </si>
  <si>
    <t>D:\Lightglue\lg_env\HBVCAM_4M2214HD-2-v11_\model1\video_20260728_142551.mp4</t>
  </si>
  <si>
    <t>video_20260728_143043.mp4</t>
  </si>
  <si>
    <t>D:\Lightglue\lg_env\HBVCAM_4M2214HD-2-v11_\model1\video_20260728_143043.mp4</t>
  </si>
  <si>
    <t>video_20260728_143958.mp4</t>
  </si>
  <si>
    <t>D:\Lightglue\lg_env\HBVCAM_4M2214HD-2-v11_\model1\video_20260728_143958.mp4</t>
  </si>
  <si>
    <t>video_20260728_144526.mp4</t>
  </si>
  <si>
    <t>D:\Lightglue\lg_env\HBVCAM_4M2214HD-2-v11_\model1\video_20260728_144526.mp4</t>
  </si>
  <si>
    <t>video_20260728_145142.mp4</t>
  </si>
  <si>
    <t>D:\Lightglue\lg_env\HBVCAM_4M2214HD-2-v11_\model1\video_20260728_145142.mp4</t>
  </si>
  <si>
    <t>video_20260728_151045.mp4</t>
  </si>
  <si>
    <t>D:\Lightglue\lg_env\HBVCAM_4M2214HD-2-v11_\model1\video_20260728_151045.mp4</t>
  </si>
  <si>
    <t>video_20260728_151841.mp4</t>
  </si>
  <si>
    <t>D:\Lightglue\lg_env\HBVCAM_4M2214HD-2-v11_\model1\video_20260728_151841.mp4</t>
  </si>
  <si>
    <t>video_20260728_152645.mp4</t>
  </si>
  <si>
    <t>D:\Lightglue\lg_env\HBVCAM_4M2214HD-2-v11_\model1\video_20260728_152645.mp4</t>
  </si>
  <si>
    <t>video_20260728_153820.mp4</t>
  </si>
  <si>
    <t>D:\Lightglue\lg_env\HBVCAM_4M2214HD-2-v11_\model1\video_20260728_153820.mp4</t>
  </si>
  <si>
    <t>video_20260729_104601.mp4</t>
  </si>
  <si>
    <t>D:\Lightglue\lg_env\HBVCAM_4M2214HD-2-v11_\model1\video_20260729_104601.mp4</t>
  </si>
  <si>
    <t>video_20260729_104856.mp4</t>
  </si>
  <si>
    <t>D:\Lightglue\lg_env\HBVCAM_4M2214HD-2-v11_\model1\video_20260729_104856.mp4</t>
  </si>
  <si>
    <t>video_20260729_105638.mp4</t>
  </si>
  <si>
    <t>D:\Lightglue\lg_env\HBVCAM_4M2214HD-2-v11_\model1\video_20260729_105638.mp4</t>
  </si>
  <si>
    <t>video_20260729_110029.mp4</t>
  </si>
  <si>
    <t>D:\Lightglue\lg_env\HBVCAM_4M2214HD-2-v11_\model1\video_20260729_110029.mp4</t>
  </si>
  <si>
    <t>video_20260729_110433.mp4</t>
  </si>
  <si>
    <t>D:\Lightglue\lg_env\HBVCAM_4M2214HD-2-v11_\model1\video_20260729_110433.mp4</t>
  </si>
  <si>
    <t>video_20260729_110735.mp4</t>
  </si>
  <si>
    <t>D:\Lightglue\lg_env\HBVCAM_4M2214HD-2-v11_\model1\video_20260729_110735.mp4</t>
  </si>
  <si>
    <t>Metric</t>
  </si>
  <si>
    <t>Value</t>
  </si>
  <si>
    <t>Total Videos</t>
  </si>
  <si>
    <t>RT Results Produced</t>
  </si>
  <si>
    <t>Mean Rotation Error (deg)</t>
  </si>
  <si>
    <t>Mean Absolute Baseline Delta (mm)</t>
  </si>
  <si>
    <t>Mean Baseline Error (%)</t>
  </si>
  <si>
    <t>Maximum Baseline Error (%)</t>
  </si>
  <si>
    <t>Parameter</t>
  </si>
  <si>
    <t>Generated At</t>
  </si>
  <si>
    <t>2026-07-29T16:39:55</t>
  </si>
  <si>
    <t>Source Folder</t>
  </si>
  <si>
    <t>D:\Lightglue\lg_env\HBVCAM_4M2214HD-2-v11_\model1</t>
  </si>
  <si>
    <t>Calibration File</t>
  </si>
  <si>
    <t>D:\Lightglue\lg_env\calibration_result_HBVCAM_4M2214HD-2-v11.json</t>
  </si>
  <si>
    <t>Reference Frame Index (zero-based)</t>
  </si>
  <si>
    <t>Recursive Search</t>
  </si>
  <si>
    <t>Baseline Error Formula</t>
  </si>
  <si>
    <t>ABS(Algorithm Baseline - JSON Baseline) / JSON Baseline</t>
  </si>
  <si>
    <t>Extrinsic Usage</t>
  </si>
  <si>
    <t>JSON R/T are ground truth only and are not used by RT estimation.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</si>
</sst>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6">
    <font>
      <sz val="11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1"/>
      <name val="Carlito"/>
    </font>
    <font>
      <sz val="9"/>
      <name val="細明體"/>
      <family val="3"/>
      <charset val="136"/>
    </font>
    <font>
      <sz val="11"/>
      <color rgb="FFFF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0" fillId="0" borderId="2" xfId="1" applyFont="1" applyBorder="1" applyAlignment="1">
      <alignment vertical="center"/>
    </xf>
    <xf numFmtId="176" fontId="0" fillId="0" borderId="2" xfId="1" applyNumberFormat="1" applyFont="1" applyBorder="1" applyAlignment="1">
      <alignment vertical="center"/>
    </xf>
    <xf numFmtId="10" fontId="0" fillId="0" borderId="2" xfId="1" applyNumberFormat="1" applyFont="1" applyBorder="1" applyAlignment="1">
      <alignment vertical="center"/>
    </xf>
    <xf numFmtId="177" fontId="0" fillId="0" borderId="2" xfId="1" applyNumberFormat="1" applyFont="1" applyBorder="1" applyAlignment="1">
      <alignment vertical="center"/>
    </xf>
    <xf numFmtId="2" fontId="0" fillId="0" borderId="2" xfId="1" applyNumberFormat="1" applyFont="1" applyBorder="1" applyAlignment="1">
      <alignment vertical="center"/>
    </xf>
    <xf numFmtId="0" fontId="0" fillId="0" borderId="2" xfId="1" applyFont="1" applyBorder="1" applyAlignment="1">
      <alignment vertical="center" wrapText="1"/>
    </xf>
    <xf numFmtId="0" fontId="1" fillId="2" borderId="3" xfId="1" applyFont="1" applyFill="1" applyBorder="1"/>
    <xf numFmtId="0" fontId="0" fillId="0" borderId="3" xfId="1" applyFont="1" applyBorder="1"/>
    <xf numFmtId="0" fontId="2" fillId="0" borderId="3" xfId="1" applyFont="1" applyBorder="1"/>
    <xf numFmtId="176" fontId="0" fillId="0" borderId="3" xfId="1" applyNumberFormat="1" applyFont="1" applyBorder="1"/>
    <xf numFmtId="10" fontId="0" fillId="0" borderId="3" xfId="1" applyNumberFormat="1" applyFont="1" applyBorder="1"/>
    <xf numFmtId="0" fontId="0" fillId="0" borderId="3" xfId="1" applyFont="1" applyBorder="1" applyAlignment="1">
      <alignment wrapText="1"/>
    </xf>
    <xf numFmtId="0" fontId="0" fillId="0" borderId="3" xfId="1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176" fontId="5" fillId="0" borderId="2" xfId="1" applyNumberFormat="1" applyFont="1" applyBorder="1" applyAlignment="1">
      <alignment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BVCAMRTResults" displayName="HBVCAMRTResults" ref="A1:K17" totalsRowShown="0">
  <autoFilter ref="A1:K17" xr:uid="{00000000-000C-0000-FFFF-FFFF00000000}"/>
  <sortState xmlns:xlrd2="http://schemas.microsoft.com/office/spreadsheetml/2017/richdata2" ref="A2:K17">
    <sortCondition ref="H1:H17"/>
  </sortState>
  <tableColumns count="11">
    <tableColumn id="1" xr3:uid="{00000000-0010-0000-0000-000001000000}" name="Run #"/>
    <tableColumn id="2" xr3:uid="{00000000-0010-0000-0000-000002000000}" name="Video File"/>
    <tableColumn id="3" xr3:uid="{00000000-0010-0000-0000-000003000000}" name="Video Path"/>
    <tableColumn id="8" xr3:uid="{00000000-0010-0000-0000-000008000000}" name="Rotation Error (deg)"/>
    <tableColumn id="11" xr3:uid="{00000000-0010-0000-0000-00000B000000}" name="Algorithm Baseline (mm)"/>
    <tableColumn id="12" xr3:uid="{00000000-0010-0000-0000-00000C000000}" name="JSON Baseline (mm)"/>
    <tableColumn id="13" xr3:uid="{00000000-0010-0000-0000-00000D000000}" name="Baseline Delta (mm)"/>
    <tableColumn id="14" xr3:uid="{00000000-0010-0000-0000-00000E000000}" name="Baseline Error (%)"/>
    <tableColumn id="16" xr3:uid="{00000000-0010-0000-0000-000010000000}" name="Marker Bidirectional RMS (px)"/>
    <tableColumn id="17" xr3:uid="{00000000-0010-0000-0000-000011000000}" name="Feature Median (px)"/>
    <tableColumn id="19" xr3:uid="{00000000-0010-0000-0000-000013000000}" name="Processing Time 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showGridLines="0" tabSelected="1" zoomScale="70" zoomScaleNormal="70" workbookViewId="0">
      <selection sqref="A1:K17"/>
    </sheetView>
  </sheetViews>
  <sheetFormatPr defaultRowHeight="14.25"/>
  <cols>
    <col min="1" max="1" width="8" customWidth="1"/>
    <col min="2" max="2" width="28" customWidth="1"/>
    <col min="3" max="3" width="52" customWidth="1"/>
    <col min="4" max="4" width="20" customWidth="1"/>
    <col min="5" max="5" width="22" customWidth="1"/>
    <col min="6" max="6" width="19" customWidth="1"/>
    <col min="7" max="7" width="20" customWidth="1"/>
    <col min="8" max="8" width="19" customWidth="1"/>
    <col min="9" max="9" width="28" customWidth="1"/>
    <col min="10" max="10" width="20" customWidth="1"/>
    <col min="11" max="11" width="19" customWidth="1"/>
  </cols>
  <sheetData>
    <row r="1" spans="1:1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5">
      <c r="A2" s="2">
        <v>5</v>
      </c>
      <c r="B2" s="2" t="s">
        <v>19</v>
      </c>
      <c r="C2" s="7" t="s">
        <v>20</v>
      </c>
      <c r="D2" s="3">
        <v>0.84991601255571747</v>
      </c>
      <c r="E2" s="3">
        <v>61.892846659670965</v>
      </c>
      <c r="F2" s="3">
        <v>61.838279270925206</v>
      </c>
      <c r="G2" s="3">
        <v>5.4567388745759615E-2</v>
      </c>
      <c r="H2" s="4">
        <f>IFERROR(ABS(G2)/F2,"")</f>
        <v>8.8242087892985443E-4</v>
      </c>
      <c r="I2" s="5">
        <v>0.24116719316827787</v>
      </c>
      <c r="J2" s="5">
        <v>0.58658463614818412</v>
      </c>
      <c r="K2" s="6">
        <v>0.74343839997891337</v>
      </c>
    </row>
    <row r="3" spans="1:11" ht="28.5">
      <c r="A3" s="2">
        <v>7</v>
      </c>
      <c r="B3" s="2" t="s">
        <v>23</v>
      </c>
      <c r="C3" s="7" t="s">
        <v>24</v>
      </c>
      <c r="D3" s="3">
        <v>1.0619422880395148</v>
      </c>
      <c r="E3" s="3">
        <v>61.622975285684312</v>
      </c>
      <c r="F3" s="3">
        <v>61.838279270925206</v>
      </c>
      <c r="G3" s="3">
        <v>-0.21530398524089378</v>
      </c>
      <c r="H3" s="4">
        <f>IFERROR(ABS(G3)/F3,"")</f>
        <v>3.4817266550643535E-3</v>
      </c>
      <c r="I3" s="5">
        <v>0.10092528609744988</v>
      </c>
      <c r="J3" s="5">
        <v>0.36012004734258263</v>
      </c>
      <c r="K3" s="6">
        <v>0.79413619998376817</v>
      </c>
    </row>
    <row r="4" spans="1:11" ht="28.5">
      <c r="A4" s="2">
        <v>12</v>
      </c>
      <c r="B4" s="2" t="s">
        <v>31</v>
      </c>
      <c r="C4" s="7" t="s">
        <v>32</v>
      </c>
      <c r="D4" s="3">
        <v>0.24318352186314798</v>
      </c>
      <c r="E4" s="3">
        <v>61.302671901627583</v>
      </c>
      <c r="F4" s="3">
        <v>61.838279270925206</v>
      </c>
      <c r="G4" s="3">
        <v>-0.53560736929762243</v>
      </c>
      <c r="H4" s="4">
        <f>IFERROR(ABS(G4)/F4,"")</f>
        <v>8.6614209776281967E-3</v>
      </c>
      <c r="I4" s="5">
        <v>0.23876290032457964</v>
      </c>
      <c r="J4" s="5">
        <v>0.48460603341581332</v>
      </c>
      <c r="K4" s="6">
        <v>1.5250615000259131</v>
      </c>
    </row>
    <row r="5" spans="1:11" ht="28.5">
      <c r="A5" s="2">
        <v>1</v>
      </c>
      <c r="B5" s="2" t="s">
        <v>11</v>
      </c>
      <c r="C5" s="7" t="s">
        <v>12</v>
      </c>
      <c r="D5" s="3">
        <v>1.0119260710990825</v>
      </c>
      <c r="E5" s="3">
        <v>60.911107498506361</v>
      </c>
      <c r="F5" s="3">
        <v>61.838279270925206</v>
      </c>
      <c r="G5" s="3">
        <v>-0.92717177241884485</v>
      </c>
      <c r="H5" s="4">
        <f>IFERROR(ABS(G5)/F5,"")</f>
        <v>1.4993492434624996E-2</v>
      </c>
      <c r="I5" s="5">
        <v>0.21688940341038732</v>
      </c>
      <c r="J5" s="5">
        <v>0.47045162034363897</v>
      </c>
      <c r="K5" s="6">
        <v>2.5736029000254348</v>
      </c>
    </row>
    <row r="6" spans="1:11" ht="28.5">
      <c r="A6" s="2">
        <v>4</v>
      </c>
      <c r="B6" s="2" t="s">
        <v>17</v>
      </c>
      <c r="C6" s="7" t="s">
        <v>18</v>
      </c>
      <c r="D6" s="3">
        <v>0.13183811214440957</v>
      </c>
      <c r="E6" s="3">
        <v>60.829312023116785</v>
      </c>
      <c r="F6" s="3">
        <v>61.838279270925206</v>
      </c>
      <c r="G6" s="3">
        <v>-1.0089672478084211</v>
      </c>
      <c r="H6" s="4">
        <f>IFERROR(ABS(G6)/F6,"")</f>
        <v>1.6316224508575741E-2</v>
      </c>
      <c r="I6" s="5">
        <v>0.14686331785976944</v>
      </c>
      <c r="J6" s="5">
        <v>0.22679367761588498</v>
      </c>
      <c r="K6" s="6">
        <v>0.99795799993444234</v>
      </c>
    </row>
    <row r="7" spans="1:11" ht="28.5">
      <c r="A7" s="2">
        <v>9</v>
      </c>
      <c r="B7" s="2" t="s">
        <v>25</v>
      </c>
      <c r="C7" s="7" t="s">
        <v>26</v>
      </c>
      <c r="D7" s="3">
        <v>0.17714305415181988</v>
      </c>
      <c r="E7" s="3">
        <v>60.356039185566758</v>
      </c>
      <c r="F7" s="3">
        <v>61.838279270925206</v>
      </c>
      <c r="G7" s="3">
        <v>-1.4822400853584483</v>
      </c>
      <c r="H7" s="4">
        <f>IFERROR(ABS(G7)/F7,"")</f>
        <v>2.3969620481586719E-2</v>
      </c>
      <c r="I7" s="5">
        <v>5.5809849579065186E-2</v>
      </c>
      <c r="J7" s="5">
        <v>0.8563448593778975</v>
      </c>
      <c r="K7" s="6">
        <v>1.9099320999812335</v>
      </c>
    </row>
    <row r="8" spans="1:11" ht="28.5">
      <c r="A8" s="2">
        <v>13</v>
      </c>
      <c r="B8" s="2" t="s">
        <v>33</v>
      </c>
      <c r="C8" s="7" t="s">
        <v>34</v>
      </c>
      <c r="D8" s="3">
        <v>0.40660705111953827</v>
      </c>
      <c r="E8" s="3">
        <v>59.871932773290801</v>
      </c>
      <c r="F8" s="3">
        <v>61.838279270925206</v>
      </c>
      <c r="G8" s="3">
        <v>-1.9663464976344045</v>
      </c>
      <c r="H8" s="4">
        <f>IFERROR(ABS(G8)/F8,"")</f>
        <v>3.1798208501557235E-2</v>
      </c>
      <c r="I8" s="5">
        <v>4.2528461383776736E-2</v>
      </c>
      <c r="J8" s="5">
        <v>0.47524216851332113</v>
      </c>
      <c r="K8" s="6">
        <v>1.1418020999990404</v>
      </c>
    </row>
    <row r="9" spans="1:11" ht="28.5">
      <c r="A9" s="2">
        <v>14</v>
      </c>
      <c r="B9" s="2" t="s">
        <v>35</v>
      </c>
      <c r="C9" s="7" t="s">
        <v>36</v>
      </c>
      <c r="D9" s="3">
        <v>0.42347739424335534</v>
      </c>
      <c r="E9" s="3">
        <v>59.764457392846808</v>
      </c>
      <c r="F9" s="3">
        <v>61.838279270925206</v>
      </c>
      <c r="G9" s="3">
        <v>-2.0738218780783981</v>
      </c>
      <c r="H9" s="4">
        <f>IFERROR(ABS(G9)/F9,"")</f>
        <v>3.3536215795924591E-2</v>
      </c>
      <c r="I9" s="5">
        <v>0.43651651586582602</v>
      </c>
      <c r="J9" s="5">
        <v>0.4990266738799789</v>
      </c>
      <c r="K9" s="6">
        <v>0.960423200041987</v>
      </c>
    </row>
    <row r="10" spans="1:11" ht="28.5">
      <c r="A10" s="2">
        <v>10</v>
      </c>
      <c r="B10" s="2" t="s">
        <v>27</v>
      </c>
      <c r="C10" s="7" t="s">
        <v>28</v>
      </c>
      <c r="D10" s="3">
        <v>0.91876963327319183</v>
      </c>
      <c r="E10" s="3">
        <v>58.728189900268788</v>
      </c>
      <c r="F10" s="3">
        <v>61.838279270925206</v>
      </c>
      <c r="G10" s="3">
        <v>-3.1100893706564179</v>
      </c>
      <c r="H10" s="4">
        <f>IFERROR(ABS(G10)/F10,"")</f>
        <v>5.0293918383959677E-2</v>
      </c>
      <c r="I10" s="5">
        <v>0.23952709771803454</v>
      </c>
      <c r="J10" s="5">
        <v>0.39933310177102288</v>
      </c>
      <c r="K10" s="6">
        <v>1.1314543000189587</v>
      </c>
    </row>
    <row r="11" spans="1:11" ht="28.5">
      <c r="A11" s="2">
        <v>3</v>
      </c>
      <c r="B11" s="2" t="s">
        <v>15</v>
      </c>
      <c r="C11" s="7" t="s">
        <v>16</v>
      </c>
      <c r="D11" s="3">
        <v>0.70981235422857492</v>
      </c>
      <c r="E11" s="3">
        <v>58.658406497938138</v>
      </c>
      <c r="F11" s="3">
        <v>61.838279270925206</v>
      </c>
      <c r="G11" s="3">
        <v>-3.1798727729870677</v>
      </c>
      <c r="H11" s="4">
        <f>IFERROR(ABS(G11)/F11,"")</f>
        <v>5.1422400663114237E-2</v>
      </c>
      <c r="I11" s="5">
        <v>0.12749003425411207</v>
      </c>
      <c r="J11" s="5">
        <v>0.31459008730170912</v>
      </c>
      <c r="K11" s="6">
        <v>1.1663551999954507</v>
      </c>
    </row>
    <row r="12" spans="1:11" ht="28.5">
      <c r="A12" s="2">
        <v>6</v>
      </c>
      <c r="B12" s="2" t="s">
        <v>21</v>
      </c>
      <c r="C12" s="7" t="s">
        <v>22</v>
      </c>
      <c r="D12" s="3">
        <v>1.2781270068743775</v>
      </c>
      <c r="E12" s="3">
        <v>58.174169759051757</v>
      </c>
      <c r="F12" s="3">
        <v>61.838279270925206</v>
      </c>
      <c r="G12" s="3">
        <v>-3.6641095118734484</v>
      </c>
      <c r="H12" s="4">
        <f>IFERROR(ABS(G12)/F12,"")</f>
        <v>5.9253096222491752E-2</v>
      </c>
      <c r="I12" s="5">
        <v>0.16931461046099525</v>
      </c>
      <c r="J12" s="5">
        <v>0.32418003414440799</v>
      </c>
      <c r="K12" s="6">
        <v>0.96935449994634837</v>
      </c>
    </row>
    <row r="13" spans="1:11" ht="28.5">
      <c r="A13" s="2">
        <v>17</v>
      </c>
      <c r="B13" s="2" t="s">
        <v>41</v>
      </c>
      <c r="C13" s="7" t="s">
        <v>42</v>
      </c>
      <c r="D13" s="3">
        <v>0.72610056828806702</v>
      </c>
      <c r="E13" s="3">
        <v>58.092167571575381</v>
      </c>
      <c r="F13" s="3">
        <v>61.838279270925206</v>
      </c>
      <c r="G13" s="3">
        <v>-3.7461116993498251</v>
      </c>
      <c r="H13" s="4">
        <f>IFERROR(ABS(G13)/F13,"")</f>
        <v>6.0579171081675813E-2</v>
      </c>
      <c r="I13" s="5">
        <v>7.2055374204257408E-2</v>
      </c>
      <c r="J13" s="5">
        <v>0.39619757979205128</v>
      </c>
      <c r="K13" s="6">
        <v>0.83328459993936121</v>
      </c>
    </row>
    <row r="14" spans="1:11" ht="28.5">
      <c r="A14" s="2">
        <v>11</v>
      </c>
      <c r="B14" s="2" t="s">
        <v>29</v>
      </c>
      <c r="C14" s="7" t="s">
        <v>30</v>
      </c>
      <c r="D14" s="3">
        <v>1.0728029268641825</v>
      </c>
      <c r="E14" s="3">
        <v>57.392973110981693</v>
      </c>
      <c r="F14" s="3">
        <v>61.838279270925206</v>
      </c>
      <c r="G14" s="3">
        <v>-4.4453061599435131</v>
      </c>
      <c r="H14" s="4">
        <f>IFERROR(ABS(G14)/F14,"")</f>
        <v>7.1885993794681538E-2</v>
      </c>
      <c r="I14" s="5">
        <v>0.31421422526843568</v>
      </c>
      <c r="J14" s="5">
        <v>0.29002410667739831</v>
      </c>
      <c r="K14" s="6">
        <v>1.5753584000049159</v>
      </c>
    </row>
    <row r="15" spans="1:11" ht="28.5">
      <c r="A15" s="2">
        <v>16</v>
      </c>
      <c r="B15" s="2" t="s">
        <v>39</v>
      </c>
      <c r="C15" s="7" t="s">
        <v>40</v>
      </c>
      <c r="D15" s="15">
        <v>38.391953166348301</v>
      </c>
      <c r="E15" s="3">
        <v>56.927292672987932</v>
      </c>
      <c r="F15" s="3">
        <v>61.838279270925206</v>
      </c>
      <c r="G15" s="3">
        <v>-4.9109865979372742</v>
      </c>
      <c r="H15" s="4">
        <f>IFERROR(ABS(G15)/F15,"")</f>
        <v>7.941661145552438E-2</v>
      </c>
      <c r="I15" s="5">
        <v>0.35645226267977581</v>
      </c>
      <c r="J15" s="5">
        <v>0.49092857842598381</v>
      </c>
      <c r="K15" s="6">
        <v>0.96566520002670586</v>
      </c>
    </row>
    <row r="16" spans="1:11" ht="28.5">
      <c r="A16" s="2">
        <v>2</v>
      </c>
      <c r="B16" s="2" t="s">
        <v>13</v>
      </c>
      <c r="C16" s="7" t="s">
        <v>14</v>
      </c>
      <c r="D16" s="3">
        <v>3.2934260029668492</v>
      </c>
      <c r="E16" s="3">
        <v>55.222097915950869</v>
      </c>
      <c r="F16" s="3">
        <v>61.838279270925206</v>
      </c>
      <c r="G16" s="3">
        <v>-6.6161813549743371</v>
      </c>
      <c r="H16" s="4">
        <f>IFERROR(ABS(G16)/F16,"")</f>
        <v>0.10699167947393223</v>
      </c>
      <c r="I16" s="5">
        <v>0.14128605323333496</v>
      </c>
      <c r="J16" s="5">
        <v>1.0503914143587418</v>
      </c>
      <c r="K16" s="6">
        <v>1.6806807999964803</v>
      </c>
    </row>
    <row r="17" spans="1:11" ht="28.5">
      <c r="A17" s="2">
        <v>15</v>
      </c>
      <c r="B17" s="2" t="s">
        <v>37</v>
      </c>
      <c r="C17" s="7" t="s">
        <v>38</v>
      </c>
      <c r="D17" s="3">
        <v>3.5823282169422637</v>
      </c>
      <c r="E17" s="3">
        <v>77.567398347374294</v>
      </c>
      <c r="F17" s="3">
        <v>61.838279270925206</v>
      </c>
      <c r="G17" s="3">
        <v>15.729119076449088</v>
      </c>
      <c r="H17" s="4">
        <f>IFERROR(ABS(G17)/F17,"")</f>
        <v>0.25435893853929603</v>
      </c>
      <c r="I17" s="5">
        <v>0.1423085802081088</v>
      </c>
      <c r="J17" s="5">
        <v>1.4495867031416707</v>
      </c>
      <c r="K17" s="6">
        <v>0.7797046999912709</v>
      </c>
    </row>
  </sheetData>
  <phoneticPr fontId="4" type="noConversion"/>
  <conditionalFormatting sqref="H2:H17">
    <cfRule type="colorScale" priority="5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>
      <selection activeCell="B7" sqref="A1:B7"/>
    </sheetView>
  </sheetViews>
  <sheetFormatPr defaultRowHeight="14.25"/>
  <cols>
    <col min="1" max="1" width="38" customWidth="1"/>
    <col min="2" max="2" width="22" customWidth="1"/>
  </cols>
  <sheetData>
    <row r="1" spans="1:2" ht="15">
      <c r="A1" s="8" t="s">
        <v>43</v>
      </c>
      <c r="B1" s="8" t="s">
        <v>44</v>
      </c>
    </row>
    <row r="2" spans="1:2" ht="15">
      <c r="A2" s="10" t="s">
        <v>45</v>
      </c>
      <c r="B2" s="9">
        <f>COUNTA('RT Results'!B2:B17)</f>
        <v>16</v>
      </c>
    </row>
    <row r="3" spans="1:2" ht="15">
      <c r="A3" s="10" t="s">
        <v>46</v>
      </c>
      <c r="B3" s="9">
        <f>COUNT('RT Results'!E2:E17)</f>
        <v>16</v>
      </c>
    </row>
    <row r="4" spans="1:2" ht="15">
      <c r="A4" s="10" t="s">
        <v>47</v>
      </c>
      <c r="B4" s="11">
        <f>IFERROR(AVERAGE('RT Results'!D2:D17),"")</f>
        <v>3.3924595863126497</v>
      </c>
    </row>
    <row r="5" spans="1:2" ht="15">
      <c r="A5" s="10" t="s">
        <v>48</v>
      </c>
      <c r="B5" s="11" t="str">
        <f>IFERROR(AVERAGE('RT Results'!#REF!),"")</f>
        <v/>
      </c>
    </row>
    <row r="6" spans="1:2" ht="15">
      <c r="A6" s="10" t="s">
        <v>49</v>
      </c>
      <c r="B6" s="12">
        <f>IFERROR(AVERAGE('RT Results'!H2:H17),"")</f>
        <v>5.424007124053546E-2</v>
      </c>
    </row>
    <row r="7" spans="1:2" ht="15">
      <c r="A7" s="10" t="s">
        <v>50</v>
      </c>
      <c r="B7" s="12">
        <f>IFERROR(MAX('RT Results'!H2:H17),"")</f>
        <v>0.25435893853929603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/>
  </sheetViews>
  <sheetFormatPr defaultRowHeight="14.25"/>
  <cols>
    <col min="1" max="1" width="38" customWidth="1"/>
    <col min="2" max="2" width="78" customWidth="1"/>
  </cols>
  <sheetData>
    <row r="1" spans="1:2" ht="15">
      <c r="A1" s="8" t="s">
        <v>51</v>
      </c>
      <c r="B1" s="8" t="s">
        <v>44</v>
      </c>
    </row>
    <row r="2" spans="1:2" ht="15">
      <c r="A2" s="10" t="s">
        <v>52</v>
      </c>
      <c r="B2" s="13" t="s">
        <v>53</v>
      </c>
    </row>
    <row r="3" spans="1:2" ht="15">
      <c r="A3" s="10" t="s">
        <v>54</v>
      </c>
      <c r="B3" s="13" t="s">
        <v>55</v>
      </c>
    </row>
    <row r="4" spans="1:2" ht="15">
      <c r="A4" s="10" t="s">
        <v>56</v>
      </c>
      <c r="B4" s="13" t="s">
        <v>57</v>
      </c>
    </row>
    <row r="5" spans="1:2" ht="15">
      <c r="A5" s="10" t="s">
        <v>58</v>
      </c>
      <c r="B5" s="13">
        <v>50</v>
      </c>
    </row>
    <row r="6" spans="1:2" ht="15">
      <c r="A6" s="10" t="s">
        <v>59</v>
      </c>
      <c r="B6" s="14" t="b">
        <v>0</v>
      </c>
    </row>
    <row r="7" spans="1:2" ht="15">
      <c r="A7" s="10" t="s">
        <v>60</v>
      </c>
      <c r="B7" s="13" t="s">
        <v>61</v>
      </c>
    </row>
    <row r="8" spans="1:2" ht="15">
      <c r="A8" s="10" t="s">
        <v>62</v>
      </c>
      <c r="B8" s="13" t="s">
        <v>63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RT Results</vt:lpstr>
      <vt:lpstr>Summary</vt:lpstr>
      <vt:lpstr>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GIT Mark Tsai (蔡翔任)</cp:lastModifiedBy>
  <dcterms:created xsi:type="dcterms:W3CDTF">2026-07-30T01:23:39Z</dcterms:created>
  <dcterms:modified xsi:type="dcterms:W3CDTF">2026-07-30T01:23:39Z</dcterms:modified>
</cp:coreProperties>
</file>