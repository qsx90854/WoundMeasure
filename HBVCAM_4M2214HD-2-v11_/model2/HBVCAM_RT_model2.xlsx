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Lightglue\lg_env\HBVCAM_4M2214HD-2-v11_\model2\"/>
    </mc:Choice>
  </mc:AlternateContent>
  <xr:revisionPtr revIDLastSave="0" documentId="8_{BB0392DC-A5A6-416E-9634-FE75D278D6F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T Results" sheetId="1" r:id="rId1"/>
    <sheet name="Summary" sheetId="2" r:id="rId2"/>
    <sheet name="Protoco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B2" i="2"/>
  <c r="H5" i="1"/>
  <c r="H15" i="1"/>
  <c r="H11" i="1"/>
  <c r="H17" i="1"/>
  <c r="H8" i="1"/>
  <c r="H14" i="1"/>
  <c r="H16" i="1"/>
  <c r="H9" i="1"/>
  <c r="H4" i="1"/>
  <c r="H7" i="1"/>
  <c r="H10" i="1"/>
  <c r="H6" i="1"/>
  <c r="H12" i="1"/>
  <c r="H3" i="1"/>
  <c r="H13" i="1"/>
  <c r="H2" i="1"/>
  <c r="B9" i="2" l="1"/>
  <c r="B10" i="2"/>
  <c r="B8" i="2"/>
</calcChain>
</file>

<file path=xl/sharedStrings.xml><?xml version="1.0" encoding="utf-8"?>
<sst xmlns="http://schemas.openxmlformats.org/spreadsheetml/2006/main" count="69" uniqueCount="68">
  <si>
    <t>Run #</t>
  </si>
  <si>
    <t>Video File</t>
  </si>
  <si>
    <t>Video Path</t>
  </si>
  <si>
    <t>Rotation Error (deg)</t>
  </si>
  <si>
    <t>Algorithm Baseline (mm)</t>
  </si>
  <si>
    <t>JSON Baseline (mm)</t>
  </si>
  <si>
    <t>Baseline Delta (mm)</t>
  </si>
  <si>
    <t>Baseline Error (%)</t>
  </si>
  <si>
    <t>RT Internal Error (px)</t>
  </si>
  <si>
    <t>Marker Bidirectional RMS (px)</t>
  </si>
  <si>
    <t>Feature Median (px)</t>
  </si>
  <si>
    <t>Processing Time (s)</t>
  </si>
  <si>
    <t>video_20260729_111018.mp4</t>
  </si>
  <si>
    <t>D:\Lightglue\lg_env\HBVCAM_4M2214HD-2-v11_\model2\video_20260729_111018.mp4</t>
  </si>
  <si>
    <t>video_20260729_111443.mp4</t>
  </si>
  <si>
    <t>D:\Lightglue\lg_env\HBVCAM_4M2214HD-2-v11_\model2\video_20260729_111443.mp4</t>
  </si>
  <si>
    <t>video_20260729_111623.mp4</t>
  </si>
  <si>
    <t>D:\Lightglue\lg_env\HBVCAM_4M2214HD-2-v11_\model2\video_20260729_111623.mp4</t>
  </si>
  <si>
    <t>video_20260729_111901.mp4</t>
  </si>
  <si>
    <t>D:\Lightglue\lg_env\HBVCAM_4M2214HD-2-v11_\model2\video_20260729_111901.mp4</t>
  </si>
  <si>
    <t>video_20260729_112041.mp4</t>
  </si>
  <si>
    <t>D:\Lightglue\lg_env\HBVCAM_4M2214HD-2-v11_\model2\video_20260729_112041.mp4</t>
  </si>
  <si>
    <t>video_20260729_112213.mp4</t>
  </si>
  <si>
    <t>D:\Lightglue\lg_env\HBVCAM_4M2214HD-2-v11_\model2\video_20260729_112213.mp4</t>
  </si>
  <si>
    <t>video_20260729_112406.mp4</t>
  </si>
  <si>
    <t>D:\Lightglue\lg_env\HBVCAM_4M2214HD-2-v11_\model2\video_20260729_112406.mp4</t>
  </si>
  <si>
    <t>video_20260729_112645.mp4</t>
  </si>
  <si>
    <t>D:\Lightglue\lg_env\HBVCAM_4M2214HD-2-v11_\model2\video_20260729_112645.mp4</t>
  </si>
  <si>
    <t>video_20260729_112903.mp4</t>
  </si>
  <si>
    <t>D:\Lightglue\lg_env\HBVCAM_4M2214HD-2-v11_\model2\video_20260729_112903.mp4</t>
  </si>
  <si>
    <t>video_20260729_113216.mp4</t>
  </si>
  <si>
    <t>D:\Lightglue\lg_env\HBVCAM_4M2214HD-2-v11_\model2\video_20260729_113216.mp4</t>
  </si>
  <si>
    <t>video_20260729_113715.mp4</t>
  </si>
  <si>
    <t>D:\Lightglue\lg_env\HBVCAM_4M2214HD-2-v11_\model2\video_20260729_113715.mp4</t>
  </si>
  <si>
    <t>video_20260729_114113.mp4</t>
  </si>
  <si>
    <t>D:\Lightglue\lg_env\HBVCAM_4M2214HD-2-v11_\model2\video_20260729_114113.mp4</t>
  </si>
  <si>
    <t>video_20260729_114444.mp4</t>
  </si>
  <si>
    <t>D:\Lightglue\lg_env\HBVCAM_4M2214HD-2-v11_\model2\video_20260729_114444.mp4</t>
  </si>
  <si>
    <t>video_20260729_114726.mp4</t>
  </si>
  <si>
    <t>D:\Lightglue\lg_env\HBVCAM_4M2214HD-2-v11_\model2\video_20260729_114726.mp4</t>
  </si>
  <si>
    <t>video_20260729_114939.mp4</t>
  </si>
  <si>
    <t>D:\Lightglue\lg_env\HBVCAM_4M2214HD-2-v11_\model2\video_20260729_114939.mp4</t>
  </si>
  <si>
    <t>video_20260729_115420.mp4</t>
  </si>
  <si>
    <t>D:\Lightglue\lg_env\HBVCAM_4M2214HD-2-v11_\model2\video_20260729_115420.mp4</t>
  </si>
  <si>
    <t>Metric</t>
  </si>
  <si>
    <t>Value</t>
  </si>
  <si>
    <t>Total Videos</t>
  </si>
  <si>
    <t>RT Results Produced</t>
  </si>
  <si>
    <t>Quality OK</t>
  </si>
  <si>
    <t>Quality Warnings</t>
  </si>
  <si>
    <t>Failed</t>
  </si>
  <si>
    <t>Mean Rotation Error (deg)</t>
  </si>
  <si>
    <t>Mean Absolute Baseline Delta (mm)</t>
  </si>
  <si>
    <t>Mean Baseline Error (%)</t>
  </si>
  <si>
    <t>Maximum Baseline Error (%)</t>
  </si>
  <si>
    <t>Parameter</t>
  </si>
  <si>
    <t>Generated At</t>
  </si>
  <si>
    <t>2026-07-29T17:03:12</t>
  </si>
  <si>
    <t>Source Folder</t>
  </si>
  <si>
    <t>D:\Lightglue\lg_env\HBVCAM_4M2214HD-2-v11_\model2</t>
  </si>
  <si>
    <t>Calibration File</t>
  </si>
  <si>
    <t>D:\Lightglue\lg_env\calibration_result_HBVCAM_4M2214HD-2-v11.json</t>
  </si>
  <si>
    <t>Reference Frame Index (zero-based)</t>
  </si>
  <si>
    <t>Recursive Search</t>
  </si>
  <si>
    <t>Baseline Error Formula</t>
  </si>
  <si>
    <t>ABS(Algorithm Baseline - JSON Baseline) / JSON Baseline</t>
  </si>
  <si>
    <t>Extrinsic Usage</t>
  </si>
  <si>
    <t>JSON R/T are ground truth only and are not used by RT estimation.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</si>
</sst>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"/>
  </numFmts>
  <fonts count="6">
    <font>
      <sz val="11"/>
      <name val="Carlito"/>
    </font>
    <font>
      <b/>
      <sz val="11"/>
      <color rgb="FFFFFFFF"/>
      <name val="Carlito"/>
    </font>
    <font>
      <b/>
      <sz val="11"/>
      <color rgb="FF1F2937"/>
      <name val="Carlito"/>
    </font>
    <font>
      <sz val="11"/>
      <name val="Carlito"/>
    </font>
    <font>
      <sz val="11"/>
      <color rgb="FFFF0000"/>
      <name val="Carlito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9EADBA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1" applyFont="1" applyFill="1" applyBorder="1" applyAlignment="1">
      <alignment vertical="center" wrapText="1"/>
    </xf>
    <xf numFmtId="0" fontId="0" fillId="0" borderId="2" xfId="1" applyFont="1" applyBorder="1" applyAlignment="1">
      <alignment vertical="center"/>
    </xf>
    <xf numFmtId="176" fontId="0" fillId="0" borderId="2" xfId="1" applyNumberFormat="1" applyFont="1" applyBorder="1" applyAlignment="1">
      <alignment vertical="center"/>
    </xf>
    <xf numFmtId="10" fontId="0" fillId="0" borderId="2" xfId="1" applyNumberFormat="1" applyFont="1" applyBorder="1" applyAlignment="1">
      <alignment vertical="center"/>
    </xf>
    <xf numFmtId="177" fontId="0" fillId="0" borderId="2" xfId="1" applyNumberFormat="1" applyFont="1" applyBorder="1" applyAlignment="1">
      <alignment vertical="center"/>
    </xf>
    <xf numFmtId="2" fontId="0" fillId="0" borderId="2" xfId="1" applyNumberFormat="1" applyFont="1" applyBorder="1" applyAlignment="1">
      <alignment vertical="center"/>
    </xf>
    <xf numFmtId="0" fontId="0" fillId="0" borderId="3" xfId="1" applyFont="1" applyBorder="1" applyAlignment="1">
      <alignment vertical="center"/>
    </xf>
    <xf numFmtId="176" fontId="0" fillId="0" borderId="3" xfId="1" applyNumberFormat="1" applyFont="1" applyBorder="1" applyAlignment="1">
      <alignment vertical="center"/>
    </xf>
    <xf numFmtId="10" fontId="0" fillId="0" borderId="3" xfId="1" applyNumberFormat="1" applyFont="1" applyBorder="1" applyAlignment="1">
      <alignment vertical="center"/>
    </xf>
    <xf numFmtId="177" fontId="0" fillId="0" borderId="3" xfId="1" applyNumberFormat="1" applyFont="1" applyBorder="1" applyAlignment="1">
      <alignment vertical="center"/>
    </xf>
    <xf numFmtId="2" fontId="0" fillId="0" borderId="3" xfId="1" applyNumberFormat="1" applyFont="1" applyBorder="1" applyAlignment="1">
      <alignment vertical="center"/>
    </xf>
    <xf numFmtId="0" fontId="0" fillId="0" borderId="2" xfId="1" applyFont="1" applyBorder="1" applyAlignment="1">
      <alignment vertical="center" wrapText="1"/>
    </xf>
    <xf numFmtId="0" fontId="0" fillId="0" borderId="3" xfId="1" applyFont="1" applyBorder="1" applyAlignment="1">
      <alignment vertical="center" wrapText="1"/>
    </xf>
    <xf numFmtId="0" fontId="1" fillId="2" borderId="4" xfId="1" applyFont="1" applyFill="1" applyBorder="1"/>
    <xf numFmtId="0" fontId="0" fillId="0" borderId="4" xfId="1" applyFont="1" applyBorder="1"/>
    <xf numFmtId="0" fontId="2" fillId="0" borderId="4" xfId="1" applyFont="1" applyBorder="1"/>
    <xf numFmtId="176" fontId="0" fillId="0" borderId="4" xfId="1" applyNumberFormat="1" applyFont="1" applyBorder="1"/>
    <xf numFmtId="10" fontId="0" fillId="0" borderId="4" xfId="1" applyNumberFormat="1" applyFont="1" applyBorder="1"/>
    <xf numFmtId="0" fontId="0" fillId="0" borderId="4" xfId="1" applyFont="1" applyBorder="1" applyAlignment="1">
      <alignment wrapText="1"/>
    </xf>
    <xf numFmtId="0" fontId="0" fillId="0" borderId="4" xfId="1" applyFont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176" fontId="4" fillId="0" borderId="2" xfId="1" applyNumberFormat="1" applyFont="1" applyBorder="1" applyAlignment="1">
      <alignment vertical="center"/>
    </xf>
  </cellXfs>
  <cellStyles count="2">
    <cellStyle name="Normal" xfId="1" xr:uid="{00000000-0005-0000-0000-000000000000}"/>
    <cellStyle name="一般" xfId="0" builtinId="0"/>
  </cellStyles>
  <dxfs count="3"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B91C1C"/>
      </font>
      <fill>
        <patternFill patternType="solid"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BVCAMRTResults" displayName="HBVCAMRTResults" ref="A1:L17" totalsRowShown="0">
  <autoFilter ref="A1:L17" xr:uid="{00000000-000C-0000-FFFF-FFFF00000000}"/>
  <sortState xmlns:xlrd2="http://schemas.microsoft.com/office/spreadsheetml/2017/richdata2" ref="A2:L17">
    <sortCondition ref="H1:H17"/>
  </sortState>
  <tableColumns count="12">
    <tableColumn id="1" xr3:uid="{00000000-0010-0000-0000-000001000000}" name="Run #"/>
    <tableColumn id="2" xr3:uid="{00000000-0010-0000-0000-000002000000}" name="Video File"/>
    <tableColumn id="3" xr3:uid="{00000000-0010-0000-0000-000003000000}" name="Video Path"/>
    <tableColumn id="8" xr3:uid="{00000000-0010-0000-0000-000008000000}" name="Rotation Error (deg)"/>
    <tableColumn id="11" xr3:uid="{00000000-0010-0000-0000-00000B000000}" name="Algorithm Baseline (mm)"/>
    <tableColumn id="12" xr3:uid="{00000000-0010-0000-0000-00000C000000}" name="JSON Baseline (mm)"/>
    <tableColumn id="13" xr3:uid="{00000000-0010-0000-0000-00000D000000}" name="Baseline Delta (mm)"/>
    <tableColumn id="14" xr3:uid="{00000000-0010-0000-0000-00000E000000}" name="Baseline Error (%)"/>
    <tableColumn id="15" xr3:uid="{00000000-0010-0000-0000-00000F000000}" name="RT Internal Error (px)"/>
    <tableColumn id="16" xr3:uid="{00000000-0010-0000-0000-000010000000}" name="Marker Bidirectional RMS (px)"/>
    <tableColumn id="17" xr3:uid="{00000000-0010-0000-0000-000011000000}" name="Feature Median (px)"/>
    <tableColumn id="19" xr3:uid="{00000000-0010-0000-0000-000013000000}" name="Processing Time (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showGridLines="0" workbookViewId="0">
      <selection activeCell="L17" sqref="A1:L17"/>
    </sheetView>
  </sheetViews>
  <sheetFormatPr defaultRowHeight="14.25"/>
  <cols>
    <col min="1" max="1" width="8" customWidth="1"/>
    <col min="2" max="2" width="28" customWidth="1"/>
    <col min="3" max="3" width="52" customWidth="1"/>
    <col min="4" max="4" width="20" customWidth="1"/>
    <col min="5" max="5" width="22" customWidth="1"/>
    <col min="6" max="6" width="19" customWidth="1"/>
    <col min="7" max="7" width="20" customWidth="1"/>
    <col min="8" max="8" width="19" customWidth="1"/>
    <col min="9" max="9" width="21" customWidth="1"/>
    <col min="10" max="10" width="28" customWidth="1"/>
    <col min="11" max="11" width="20" customWidth="1"/>
    <col min="12" max="12" width="19" customWidth="1"/>
  </cols>
  <sheetData>
    <row r="1" spans="1:12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5">
      <c r="A2" s="2">
        <v>1</v>
      </c>
      <c r="B2" s="2" t="s">
        <v>12</v>
      </c>
      <c r="C2" s="12" t="s">
        <v>13</v>
      </c>
      <c r="D2" s="3">
        <v>0.96999022860111972</v>
      </c>
      <c r="E2" s="3">
        <v>61.482400364321123</v>
      </c>
      <c r="F2" s="3">
        <v>61.838279270925206</v>
      </c>
      <c r="G2" s="3">
        <v>-0.35587890660408306</v>
      </c>
      <c r="H2" s="4">
        <f>IFERROR(ABS(G2)/F2,"")</f>
        <v>5.7549936835226316E-3</v>
      </c>
      <c r="I2" s="5">
        <v>0.29247192448220938</v>
      </c>
      <c r="J2" s="5">
        <v>5.5225559629035893E-2</v>
      </c>
      <c r="K2" s="5">
        <v>0.29247192448220938</v>
      </c>
      <c r="L2" s="6">
        <v>0.88748119992669672</v>
      </c>
    </row>
    <row r="3" spans="1:12" ht="28.5">
      <c r="A3" s="2">
        <v>3</v>
      </c>
      <c r="B3" s="2" t="s">
        <v>16</v>
      </c>
      <c r="C3" s="12" t="s">
        <v>17</v>
      </c>
      <c r="D3" s="3">
        <v>6.0774125863133605E-2</v>
      </c>
      <c r="E3" s="3">
        <v>60.922235039775494</v>
      </c>
      <c r="F3" s="3">
        <v>61.838279270925206</v>
      </c>
      <c r="G3" s="3">
        <v>-0.91604423114971212</v>
      </c>
      <c r="H3" s="4">
        <f>IFERROR(ABS(G3)/F3,"")</f>
        <v>1.481354659201219E-2</v>
      </c>
      <c r="I3" s="5">
        <v>0.67568554561177208</v>
      </c>
      <c r="J3" s="5">
        <v>0.2263690655368113</v>
      </c>
      <c r="K3" s="5">
        <v>0.67568554561177208</v>
      </c>
      <c r="L3" s="6">
        <v>0.65511059993878007</v>
      </c>
    </row>
    <row r="4" spans="1:12" ht="28.5">
      <c r="A4" s="2">
        <v>8</v>
      </c>
      <c r="B4" s="2" t="s">
        <v>26</v>
      </c>
      <c r="C4" s="12" t="s">
        <v>27</v>
      </c>
      <c r="D4" s="3">
        <v>0.28519963057851261</v>
      </c>
      <c r="E4" s="3">
        <v>60.874131938891523</v>
      </c>
      <c r="F4" s="3">
        <v>61.838279270925206</v>
      </c>
      <c r="G4" s="3">
        <v>-0.96414733203368286</v>
      </c>
      <c r="H4" s="4">
        <f>IFERROR(ABS(G4)/F4,"")</f>
        <v>1.5591432093534991E-2</v>
      </c>
      <c r="I4" s="5">
        <v>0.63283904848258832</v>
      </c>
      <c r="J4" s="5">
        <v>8.8152969512963628E-2</v>
      </c>
      <c r="K4" s="5">
        <v>0.63283904848258832</v>
      </c>
      <c r="L4" s="6">
        <v>1.1232625999255106</v>
      </c>
    </row>
    <row r="5" spans="1:12" ht="28.5">
      <c r="A5" s="2">
        <v>16</v>
      </c>
      <c r="B5" s="2" t="s">
        <v>42</v>
      </c>
      <c r="C5" s="12" t="s">
        <v>43</v>
      </c>
      <c r="D5" s="3">
        <v>0.40595306846043616</v>
      </c>
      <c r="E5" s="3">
        <v>60.297083980487479</v>
      </c>
      <c r="F5" s="3">
        <v>61.838279270925206</v>
      </c>
      <c r="G5" s="3">
        <v>-1.5411952904377273</v>
      </c>
      <c r="H5" s="4">
        <f>IFERROR(ABS(G5)/F5,"")</f>
        <v>2.4922997674069473E-2</v>
      </c>
      <c r="I5" s="5">
        <v>5.886788376392036E-2</v>
      </c>
      <c r="J5" s="5">
        <v>5.886788376392036E-2</v>
      </c>
      <c r="K5" s="5"/>
      <c r="L5" s="6">
        <v>1.5968773999484256</v>
      </c>
    </row>
    <row r="6" spans="1:12" ht="28.5">
      <c r="A6" s="2">
        <v>5</v>
      </c>
      <c r="B6" s="2" t="s">
        <v>20</v>
      </c>
      <c r="C6" s="12" t="s">
        <v>21</v>
      </c>
      <c r="D6" s="21">
        <v>36.312378728276038</v>
      </c>
      <c r="E6" s="3">
        <v>60.13611948671749</v>
      </c>
      <c r="F6" s="3">
        <v>61.838279270925206</v>
      </c>
      <c r="G6" s="3">
        <v>-1.7021597842077156</v>
      </c>
      <c r="H6" s="4">
        <f>IFERROR(ABS(G6)/F6,"")</f>
        <v>2.7525988825630666E-2</v>
      </c>
      <c r="I6" s="5">
        <v>0.70068742408722584</v>
      </c>
      <c r="J6" s="5">
        <v>0.70068742408722584</v>
      </c>
      <c r="K6" s="5">
        <v>0.37404469324691086</v>
      </c>
      <c r="L6" s="6">
        <v>1.3816698000300676</v>
      </c>
    </row>
    <row r="7" spans="1:12" ht="28.5">
      <c r="A7" s="2">
        <v>7</v>
      </c>
      <c r="B7" s="2" t="s">
        <v>24</v>
      </c>
      <c r="C7" s="12" t="s">
        <v>25</v>
      </c>
      <c r="D7" s="3">
        <v>0.26149501799759783</v>
      </c>
      <c r="E7" s="3">
        <v>60.035363692454084</v>
      </c>
      <c r="F7" s="3">
        <v>61.838279270925206</v>
      </c>
      <c r="G7" s="3">
        <v>-1.8029155784711222</v>
      </c>
      <c r="H7" s="4">
        <f>IFERROR(ABS(G7)/F7,"")</f>
        <v>2.9155332259039868E-2</v>
      </c>
      <c r="I7" s="5">
        <v>0.72048776561851302</v>
      </c>
      <c r="J7" s="5">
        <v>6.9137416332340315E-2</v>
      </c>
      <c r="K7" s="5">
        <v>0.72048776561851302</v>
      </c>
      <c r="L7" s="6">
        <v>1.1424154998967424</v>
      </c>
    </row>
    <row r="8" spans="1:12" ht="28.5">
      <c r="A8" s="2">
        <v>12</v>
      </c>
      <c r="B8" s="2" t="s">
        <v>34</v>
      </c>
      <c r="C8" s="12" t="s">
        <v>35</v>
      </c>
      <c r="D8" s="3">
        <v>0.24384310493538211</v>
      </c>
      <c r="E8" s="3">
        <v>59.860626232802915</v>
      </c>
      <c r="F8" s="3">
        <v>61.838279270925206</v>
      </c>
      <c r="G8" s="3">
        <v>-1.9776530381222912</v>
      </c>
      <c r="H8" s="4">
        <f>IFERROR(ABS(G8)/F8,"")</f>
        <v>3.1981048978704907E-2</v>
      </c>
      <c r="I8" s="5">
        <v>0.33651407442612891</v>
      </c>
      <c r="J8" s="5">
        <v>9.5228814278280741E-2</v>
      </c>
      <c r="K8" s="5">
        <v>0.33651407442612891</v>
      </c>
      <c r="L8" s="6">
        <v>1.1474314000224695</v>
      </c>
    </row>
    <row r="9" spans="1:12" ht="28.5">
      <c r="A9" s="2">
        <v>9</v>
      </c>
      <c r="B9" s="2" t="s">
        <v>28</v>
      </c>
      <c r="C9" s="12" t="s">
        <v>29</v>
      </c>
      <c r="D9" s="3">
        <v>0.51233034321891868</v>
      </c>
      <c r="E9" s="3">
        <v>59.561208920681835</v>
      </c>
      <c r="F9" s="3">
        <v>61.838279270925206</v>
      </c>
      <c r="G9" s="3">
        <v>-2.2770703502433705</v>
      </c>
      <c r="H9" s="4">
        <f>IFERROR(ABS(G9)/F9,"")</f>
        <v>3.6822990178415123E-2</v>
      </c>
      <c r="I9" s="5">
        <v>0.71608059400516333</v>
      </c>
      <c r="J9" s="5">
        <v>0.42727223634145328</v>
      </c>
      <c r="K9" s="5">
        <v>0.71608059400516333</v>
      </c>
      <c r="L9" s="6">
        <v>0.67376599996350706</v>
      </c>
    </row>
    <row r="10" spans="1:12" ht="28.5">
      <c r="A10" s="2">
        <v>6</v>
      </c>
      <c r="B10" s="2" t="s">
        <v>22</v>
      </c>
      <c r="C10" s="12" t="s">
        <v>23</v>
      </c>
      <c r="D10" s="3">
        <v>0.36175940090462838</v>
      </c>
      <c r="E10" s="3">
        <v>59.109358517455405</v>
      </c>
      <c r="F10" s="3">
        <v>61.838279270925206</v>
      </c>
      <c r="G10" s="3">
        <v>-2.7289207534698008</v>
      </c>
      <c r="H10" s="4">
        <f>IFERROR(ABS(G10)/F10,"")</f>
        <v>4.4129959398027274E-2</v>
      </c>
      <c r="I10" s="5">
        <v>0.51713893937836652</v>
      </c>
      <c r="J10" s="5">
        <v>6.6903476179114033E-2</v>
      </c>
      <c r="K10" s="5">
        <v>0.51713893937836652</v>
      </c>
      <c r="L10" s="6">
        <v>0.89202390005812049</v>
      </c>
    </row>
    <row r="11" spans="1:12" ht="28.5">
      <c r="A11" s="2">
        <v>14</v>
      </c>
      <c r="B11" s="2" t="s">
        <v>38</v>
      </c>
      <c r="C11" s="12" t="s">
        <v>39</v>
      </c>
      <c r="D11" s="3">
        <v>1.7388690922422592</v>
      </c>
      <c r="E11" s="3">
        <v>64.638973246435839</v>
      </c>
      <c r="F11" s="3">
        <v>61.838279270925206</v>
      </c>
      <c r="G11" s="3">
        <v>2.800693975510633</v>
      </c>
      <c r="H11" s="4">
        <f>IFERROR(ABS(G11)/F11,"")</f>
        <v>4.5290619476008744E-2</v>
      </c>
      <c r="I11" s="5">
        <v>0.55990657094425278</v>
      </c>
      <c r="J11" s="5">
        <v>7.6456865014662159E-2</v>
      </c>
      <c r="K11" s="5">
        <v>0.55990657094425278</v>
      </c>
      <c r="L11" s="6">
        <v>1.2484598000301048</v>
      </c>
    </row>
    <row r="12" spans="1:12" ht="28.5">
      <c r="A12" s="2">
        <v>4</v>
      </c>
      <c r="B12" s="2" t="s">
        <v>18</v>
      </c>
      <c r="C12" s="12" t="s">
        <v>19</v>
      </c>
      <c r="D12" s="3">
        <v>0.62045378805273799</v>
      </c>
      <c r="E12" s="3">
        <v>58.966608123722374</v>
      </c>
      <c r="F12" s="3">
        <v>61.838279270925206</v>
      </c>
      <c r="G12" s="3">
        <v>-2.8716711472028322</v>
      </c>
      <c r="H12" s="4">
        <f>IFERROR(ABS(G12)/F12,"")</f>
        <v>4.6438406454058938E-2</v>
      </c>
      <c r="I12" s="5">
        <v>0.39233503838085043</v>
      </c>
      <c r="J12" s="5">
        <v>0.14760955495498312</v>
      </c>
      <c r="K12" s="5">
        <v>0.39233503838085043</v>
      </c>
      <c r="L12" s="6">
        <v>0.86791140004061162</v>
      </c>
    </row>
    <row r="13" spans="1:12" ht="28.5">
      <c r="A13" s="2">
        <v>2</v>
      </c>
      <c r="B13" s="2" t="s">
        <v>14</v>
      </c>
      <c r="C13" s="12" t="s">
        <v>15</v>
      </c>
      <c r="D13" s="3">
        <v>1.1196582086260882</v>
      </c>
      <c r="E13" s="3">
        <v>58.520428715839856</v>
      </c>
      <c r="F13" s="3">
        <v>61.838279270925206</v>
      </c>
      <c r="G13" s="3">
        <v>-3.3178505550853501</v>
      </c>
      <c r="H13" s="4">
        <f>IFERROR(ABS(G13)/F13,"")</f>
        <v>5.3653668798726094E-2</v>
      </c>
      <c r="I13" s="5">
        <v>0.68021553642618349</v>
      </c>
      <c r="J13" s="5">
        <v>0.26314504154094293</v>
      </c>
      <c r="K13" s="5">
        <v>0.68021553642618349</v>
      </c>
      <c r="L13" s="6">
        <v>0.50628299999516457</v>
      </c>
    </row>
    <row r="14" spans="1:12" ht="28.5">
      <c r="A14" s="2">
        <v>11</v>
      </c>
      <c r="B14" s="2" t="s">
        <v>32</v>
      </c>
      <c r="C14" s="12" t="s">
        <v>33</v>
      </c>
      <c r="D14" s="3">
        <v>0.75189319592812864</v>
      </c>
      <c r="E14" s="3">
        <v>58.171319311849949</v>
      </c>
      <c r="F14" s="3">
        <v>61.838279270925206</v>
      </c>
      <c r="G14" s="3">
        <v>-3.6669599590752568</v>
      </c>
      <c r="H14" s="4">
        <f>IFERROR(ABS(G14)/F14,"")</f>
        <v>5.9299191411999214E-2</v>
      </c>
      <c r="I14" s="5">
        <v>1.0035467053427403</v>
      </c>
      <c r="J14" s="5">
        <v>7.2501293003366163E-2</v>
      </c>
      <c r="K14" s="5">
        <v>1.0035467053427403</v>
      </c>
      <c r="L14" s="6">
        <v>0.98489880003035069</v>
      </c>
    </row>
    <row r="15" spans="1:12" ht="28.5">
      <c r="A15" s="2">
        <v>15</v>
      </c>
      <c r="B15" s="2" t="s">
        <v>40</v>
      </c>
      <c r="C15" s="12" t="s">
        <v>41</v>
      </c>
      <c r="D15" s="3">
        <v>1.120065116173421</v>
      </c>
      <c r="E15" s="3">
        <v>57.218774894558699</v>
      </c>
      <c r="F15" s="3">
        <v>61.838279270925206</v>
      </c>
      <c r="G15" s="3">
        <v>-4.6195043763665069</v>
      </c>
      <c r="H15" s="4">
        <f>IFERROR(ABS(G15)/F15,"")</f>
        <v>7.4702990297119742E-2</v>
      </c>
      <c r="I15" s="5">
        <v>0.26264306846969432</v>
      </c>
      <c r="J15" s="5">
        <v>0.25115529925412877</v>
      </c>
      <c r="K15" s="5">
        <v>0.26264306846969432</v>
      </c>
      <c r="L15" s="6">
        <v>0.79770280001685023</v>
      </c>
    </row>
    <row r="16" spans="1:12" ht="28.5">
      <c r="A16" s="2">
        <v>10</v>
      </c>
      <c r="B16" s="2" t="s">
        <v>30</v>
      </c>
      <c r="C16" s="12" t="s">
        <v>31</v>
      </c>
      <c r="D16" s="3">
        <v>3.412056685107796</v>
      </c>
      <c r="E16" s="3">
        <v>69.513170571438494</v>
      </c>
      <c r="F16" s="3">
        <v>61.838279270925206</v>
      </c>
      <c r="G16" s="3">
        <v>7.6748913005132877</v>
      </c>
      <c r="H16" s="4">
        <f>IFERROR(ABS(G16)/F16,"")</f>
        <v>0.12411230375425125</v>
      </c>
      <c r="I16" s="5">
        <v>0.37380898977240906</v>
      </c>
      <c r="J16" s="5">
        <v>3.2112969257897382E-2</v>
      </c>
      <c r="K16" s="5">
        <v>0.37380898977240906</v>
      </c>
      <c r="L16" s="6">
        <v>1.1161377000389621</v>
      </c>
    </row>
    <row r="17" spans="1:12" ht="28.5">
      <c r="A17" s="7">
        <v>13</v>
      </c>
      <c r="B17" s="7" t="s">
        <v>36</v>
      </c>
      <c r="C17" s="13" t="s">
        <v>37</v>
      </c>
      <c r="D17" s="8">
        <v>2.6977273376504103</v>
      </c>
      <c r="E17" s="8">
        <v>53.696035318516998</v>
      </c>
      <c r="F17" s="8">
        <v>61.838279270925206</v>
      </c>
      <c r="G17" s="8">
        <v>-8.142243952408208</v>
      </c>
      <c r="H17" s="9">
        <f>IFERROR(ABS(G17)/F17,"")</f>
        <v>0.13166996314265952</v>
      </c>
      <c r="I17" s="10">
        <v>0.71409108844100755</v>
      </c>
      <c r="J17" s="10">
        <v>0.57986012156803013</v>
      </c>
      <c r="K17" s="10">
        <v>0.71409108844100755</v>
      </c>
      <c r="L17" s="11">
        <v>1.1422592999879271</v>
      </c>
    </row>
  </sheetData>
  <phoneticPr fontId="5" type="noConversion"/>
  <conditionalFormatting sqref="H2:H17">
    <cfRule type="colorScale" priority="4">
      <colorScale>
        <cfvo type="min"/>
        <cfvo type="percentile" val="50"/>
        <cfvo type="max"/>
        <color rgb="FFE2F0D9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tabSelected="1" workbookViewId="0">
      <selection activeCell="B10" sqref="A1:B10"/>
    </sheetView>
  </sheetViews>
  <sheetFormatPr defaultRowHeight="14.25"/>
  <cols>
    <col min="1" max="1" width="38" customWidth="1"/>
    <col min="2" max="2" width="22" customWidth="1"/>
  </cols>
  <sheetData>
    <row r="1" spans="1:2" ht="15">
      <c r="A1" s="14" t="s">
        <v>44</v>
      </c>
      <c r="B1" s="14" t="s">
        <v>45</v>
      </c>
    </row>
    <row r="2" spans="1:2" ht="15">
      <c r="A2" s="16" t="s">
        <v>46</v>
      </c>
      <c r="B2" s="15">
        <f>COUNTA('RT Results'!B2:B17)</f>
        <v>16</v>
      </c>
    </row>
    <row r="3" spans="1:2" ht="15">
      <c r="A3" s="16" t="s">
        <v>47</v>
      </c>
      <c r="B3" s="15">
        <f>COUNT('RT Results'!E2:E17)</f>
        <v>16</v>
      </c>
    </row>
    <row r="4" spans="1:2" ht="15">
      <c r="A4" s="16" t="s">
        <v>48</v>
      </c>
      <c r="B4" s="15" t="e">
        <f>COUNTIF('RT Results'!#REF!,"OK")</f>
        <v>#REF!</v>
      </c>
    </row>
    <row r="5" spans="1:2" ht="15">
      <c r="A5" s="16" t="s">
        <v>49</v>
      </c>
      <c r="B5" s="15" t="e">
        <f>COUNTIF('RT Results'!#REF!,"QUALITY_WARNING")</f>
        <v>#REF!</v>
      </c>
    </row>
    <row r="6" spans="1:2" ht="15">
      <c r="A6" s="16" t="s">
        <v>50</v>
      </c>
      <c r="B6" s="15" t="e">
        <f>COUNTIF('RT Results'!#REF!,"FAILED")</f>
        <v>#REF!</v>
      </c>
    </row>
    <row r="7" spans="1:2" ht="15">
      <c r="A7" s="16" t="s">
        <v>51</v>
      </c>
      <c r="B7" s="17">
        <f>IFERROR(AVERAGE('RT Results'!D2:D17),"")</f>
        <v>3.1796529420385382</v>
      </c>
    </row>
    <row r="8" spans="1:2" ht="15">
      <c r="A8" s="16" t="s">
        <v>52</v>
      </c>
      <c r="B8" s="17" t="str">
        <f>IFERROR(AVERAGE('RT Results'!#REF!),"")</f>
        <v/>
      </c>
    </row>
    <row r="9" spans="1:2" ht="15">
      <c r="A9" s="16" t="s">
        <v>53</v>
      </c>
      <c r="B9" s="18">
        <f>IFERROR(AVERAGE('RT Results'!H2:H17),"")</f>
        <v>4.7866589563611291E-2</v>
      </c>
    </row>
    <row r="10" spans="1:2" ht="15">
      <c r="A10" s="16" t="s">
        <v>54</v>
      </c>
      <c r="B10" s="18">
        <f>IFERROR(MAX('RT Results'!H2:H17),"")</f>
        <v>0.13166996314265952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showGridLines="0" workbookViewId="0"/>
  </sheetViews>
  <sheetFormatPr defaultRowHeight="14.25"/>
  <cols>
    <col min="1" max="1" width="38" customWidth="1"/>
    <col min="2" max="2" width="78" customWidth="1"/>
  </cols>
  <sheetData>
    <row r="1" spans="1:2" ht="15">
      <c r="A1" s="14" t="s">
        <v>55</v>
      </c>
      <c r="B1" s="14" t="s">
        <v>45</v>
      </c>
    </row>
    <row r="2" spans="1:2" ht="15">
      <c r="A2" s="16" t="s">
        <v>56</v>
      </c>
      <c r="B2" s="19" t="s">
        <v>57</v>
      </c>
    </row>
    <row r="3" spans="1:2" ht="15">
      <c r="A3" s="16" t="s">
        <v>58</v>
      </c>
      <c r="B3" s="19" t="s">
        <v>59</v>
      </c>
    </row>
    <row r="4" spans="1:2" ht="15">
      <c r="A4" s="16" t="s">
        <v>60</v>
      </c>
      <c r="B4" s="19" t="s">
        <v>61</v>
      </c>
    </row>
    <row r="5" spans="1:2" ht="15">
      <c r="A5" s="16" t="s">
        <v>62</v>
      </c>
      <c r="B5" s="19">
        <v>50</v>
      </c>
    </row>
    <row r="6" spans="1:2" ht="15">
      <c r="A6" s="16" t="s">
        <v>63</v>
      </c>
      <c r="B6" s="20" t="b">
        <v>0</v>
      </c>
    </row>
    <row r="7" spans="1:2" ht="15">
      <c r="A7" s="16" t="s">
        <v>64</v>
      </c>
      <c r="B7" s="19" t="s">
        <v>65</v>
      </c>
    </row>
    <row r="8" spans="1:2" ht="15">
      <c r="A8" s="16" t="s">
        <v>66</v>
      </c>
      <c r="B8" s="19" t="s">
        <v>67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RT Results</vt:lpstr>
      <vt:lpstr>Summary</vt:lpstr>
      <vt:lpstr>Protocol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GIT Mark Tsai (蔡翔任)</cp:lastModifiedBy>
  <dcterms:created xsi:type="dcterms:W3CDTF">2026-07-30T01:23:54Z</dcterms:created>
  <dcterms:modified xsi:type="dcterms:W3CDTF">2026-07-30T01:23:54Z</dcterms:modified>
</cp:coreProperties>
</file>