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5678f7747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 Results" sheetId="1" r:id="Rf8ebc4d3c269465c"/>
    <x:sheet xmlns:r="http://schemas.openxmlformats.org/officeDocument/2006/relationships" name="Summary" sheetId="2" r:id="Rd5a9c0b8e22b4a87"/>
    <x:sheet xmlns:r="http://schemas.openxmlformats.org/officeDocument/2006/relationships" name="Protocol" sheetId="3" r:id="R2476eeb22bb2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2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3481f83ac4545" /><Relationship Type="http://schemas.openxmlformats.org/officeDocument/2006/relationships/theme" Target="/xl/theme/theme1.xml" Id="Ra5b47059745b4ee4" /><Relationship Type="http://schemas.microsoft.com/office/2022/11/relationships/FeaturePropertyBag" Target="/xl/featurePropertyBag/featurePropertyBag.xml" Id="R965169512b8048e0" /><Relationship Type="http://schemas.openxmlformats.org/officeDocument/2006/relationships/sharedStrings" Target="/xl/sharedStrings.xml" Id="Rd18faf7b10c944f0" /><Relationship Type="http://schemas.openxmlformats.org/officeDocument/2006/relationships/worksheet" Target="/xl/worksheets/sheet1.xml" Id="Rf8ebc4d3c269465c" /><Relationship Type="http://schemas.openxmlformats.org/officeDocument/2006/relationships/worksheet" Target="/xl/worksheets/sheet2.xml" Id="Rd5a9c0b8e22b4a87" /><Relationship Type="http://schemas.openxmlformats.org/officeDocument/2006/relationships/worksheet" Target="/xl/worksheets/sheet3.xml" Id="R2476eeb22bb2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BVCAMRTResults" displayName="HBVCAMRTResults" ref="A1:T13" headerRowCount="1" totalsRowCount="0" totalsRowShown="0">
  <x:tableColumns count="20">
    <x:tableColumn id="1" name="Run #"/>
    <x:tableColumn id="2" name="Video File"/>
    <x:tableColumn id="3" name="Video Path"/>
    <x:tableColumn id="4" name="Status"/>
    <x:tableColumn id="5" name="Failure Reason"/>
    <x:tableColumn id="6" name="Frame Index"/>
    <x:tableColumn id="7" name="Total Frames"/>
    <x:tableColumn id="8" name="Rotation Error (deg)"/>
    <x:tableColumn id="9" name="Translation L2 Error (mm)"/>
    <x:tableColumn id="10" name="Translation Direction Error (deg)"/>
    <x:tableColumn id="11" name="Algorithm Baseline (mm)"/>
    <x:tableColumn id="12" name="JSON Baseline (mm)"/>
    <x:tableColumn id="13" name="Baseline Delta (mm)"/>
    <x:tableColumn id="14" name="Baseline Error (%)"/>
    <x:tableColumn id="15" name="RT Internal Error (px)"/>
    <x:tableColumn id="16" name="Marker Bidirectional RMS (px)"/>
    <x:tableColumn id="17" name="Feature Median (px)"/>
    <x:tableColumn id="18" name="RT Reliable"/>
    <x:tableColumn id="19" name="Processing Time (s)"/>
    <x:tableColumn id="20" name="Absolute Baseline Delta (m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0a0e71af34f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8" hidden="0" customWidth="1"/>
    <x:col min="5" max="5" width="44" hidden="0" customWidth="1"/>
    <x:col min="6" max="6" width="12" hidden="0" customWidth="1"/>
    <x:col min="7" max="7" width="13" hidden="0" customWidth="1"/>
    <x:col min="8" max="8" width="20" hidden="0" customWidth="1"/>
    <x:col min="9" max="9" width="22" hidden="0" customWidth="1"/>
    <x:col min="10" max="10" width="27" hidden="0" customWidth="1"/>
    <x:col min="11" max="11" width="22" hidden="0" customWidth="1"/>
    <x:col min="12" max="12" width="19" hidden="0" customWidth="1"/>
    <x:col min="13" max="13" width="20" hidden="0" customWidth="1"/>
    <x:col min="14" max="14" width="19" hidden="0" customWidth="1"/>
    <x:col min="15" max="15" width="21" hidden="0" customWidth="1"/>
    <x:col min="16" max="16" width="28" hidden="0" customWidth="1"/>
    <x:col min="17" max="17" width="20" hidden="0" customWidth="1"/>
    <x:col min="18" max="18" width="13" hidden="0" customWidth="1"/>
    <x:col min="19" max="19" width="19" hidden="0" customWidth="1"/>
    <x:col min="20" max="20" width="25" hidden="0" customWidth="1"/>
  </x:cols>
  <x:sheetData>
    <x:row r="1" ht="36" customHeight="1">
      <x:c r="A1" s="12" t="str">
        <x:v>Run #</x:v>
      </x:c>
      <x:c r="B1" s="12" t="str">
        <x:v>Video File</x:v>
      </x:c>
      <x:c r="C1" s="12" t="str">
        <x:v>Video Path</x:v>
      </x:c>
      <x:c r="D1" s="12" t="str">
        <x:v>Status</x:v>
      </x:c>
      <x:c r="E1" s="12" t="str">
        <x:v>Failure Reason</x:v>
      </x:c>
      <x:c r="F1" s="12" t="str">
        <x:v>Frame Index</x:v>
      </x:c>
      <x:c r="G1" s="12" t="str">
        <x:v>Total Frames</x:v>
      </x:c>
      <x:c r="H1" s="12" t="str">
        <x:v>Rotation Error (deg)</x:v>
      </x:c>
      <x:c r="I1" s="12" t="str">
        <x:v>Translation L2 Error (mm)</x:v>
      </x:c>
      <x:c r="J1" s="12" t="str">
        <x:v>Translation Direction Error (deg)</x:v>
      </x:c>
      <x:c r="K1" s="12" t="str">
        <x:v>Algorithm Baseline (mm)</x:v>
      </x:c>
      <x:c r="L1" s="12" t="str">
        <x:v>JSON Baseline (mm)</x:v>
      </x:c>
      <x:c r="M1" s="12" t="str">
        <x:v>Baseline Delta (mm)</x:v>
      </x:c>
      <x:c r="N1" s="12" t="str">
        <x:v>Baseline Error (%)</x:v>
      </x:c>
      <x:c r="O1" s="12" t="str">
        <x:v>RT Internal Error (px)</x:v>
      </x:c>
      <x:c r="P1" s="12" t="str">
        <x:v>Marker Bidirectional RMS (px)</x:v>
      </x:c>
      <x:c r="Q1" s="12" t="str">
        <x:v>Feature Median (px)</x:v>
      </x:c>
      <x:c r="R1" s="12" t="str">
        <x:v>RT Reliable</x:v>
      </x:c>
      <x:c r="S1" s="12" t="str">
        <x:v>Processing Time (s)</x:v>
      </x:c>
      <x:c r="T1" s="12" t="str">
        <x:v>Absolute Baseline Delta (mm)</x:v>
      </x:c>
    </x:row>
    <x:row r="2">
      <x:c r="A2" s="13" t="n">
        <x:v>1</x:v>
      </x:c>
      <x:c r="B2" s="13" t="str">
        <x:v>video_20260729_150509.mp4</x:v>
      </x:c>
      <x:c r="C2" s="25" t="str">
        <x:v>D:\Lightglue\lg_env\SU01\model2\video_20260729_150509.mp4</x:v>
      </x:c>
      <x:c r="D2" s="13" t="str">
        <x:v>OK</x:v>
      </x:c>
      <x:c r="E2" s="25" t="str"/>
      <x:c r="F2" s="13" t="n">
        <x:v>50</x:v>
      </x:c>
      <x:c r="G2" s="13" t="n">
        <x:v>196</x:v>
      </x:c>
      <x:c r="H2" s="14" t="n">
        <x:v>0.4533301546142752</x:v>
      </x:c>
      <x:c r="I2" s="14" t="n">
        <x:v>1.8592479338033454</x:v>
      </x:c>
      <x:c r="J2" s="14" t="n">
        <x:v>1.8360734377644483</x:v>
      </x:c>
      <x:c r="K2" s="14" t="n">
        <x:v>22.053866374935218</x:v>
      </x:c>
      <x:c r="L2" s="14" t="n">
        <x:v>20.322802442672728</x:v>
      </x:c>
      <x:c r="M2" s="14" t="n">
        <x:v>1.7310639322624901</x:v>
      </x:c>
      <x:c r="N2" s="15" t="n">
        <x:f>IFERROR(ABS(M2)/L2,"")</x:f>
        <x:v>0.08517840672542755</x:v>
      </x:c>
      <x:c r="O2" s="16" t="n">
        <x:v>0.565362952493877</x:v>
      </x:c>
      <x:c r="P2" s="16" t="n">
        <x:v>0.23633864946864225</x:v>
      </x:c>
      <x:c r="Q2" s="16" t="n">
        <x:v>0.565362952493877</x:v>
      </x:c>
      <x:c r="R2" s="17" t="b">
        <x:v>1</x:v>
      </x:c>
      <x:c r="S2" s="18" t="n">
        <x:v>3.133871200028807</x:v>
      </x:c>
      <x:c r="T2" s="14" t="n">
        <x:f>IF(M2="","",ABS(M2))</x:f>
        <x:v>1.7310639322624901</x:v>
      </x:c>
    </x:row>
    <x:row r="3">
      <x:c r="A3" s="13" t="n">
        <x:v>2</x:v>
      </x:c>
      <x:c r="B3" s="13" t="str">
        <x:v>video_20260729_150648.mp4</x:v>
      </x:c>
      <x:c r="C3" s="25" t="str">
        <x:v>D:\Lightglue\lg_env\SU01\model2\video_20260729_150648.mp4</x:v>
      </x:c>
      <x:c r="D3" s="13" t="str">
        <x:v>OK</x:v>
      </x:c>
      <x:c r="E3" s="25" t="str"/>
      <x:c r="F3" s="13" t="n">
        <x:v>50</x:v>
      </x:c>
      <x:c r="G3" s="13" t="n">
        <x:v>383</x:v>
      </x:c>
      <x:c r="H3" s="14" t="n">
        <x:v>0.7280862806493256</x:v>
      </x:c>
      <x:c r="I3" s="14" t="n">
        <x:v>2.23372258176436</x:v>
      </x:c>
      <x:c r="J3" s="14" t="n">
        <x:v>3.8418599938634346</x:v>
      </x:c>
      <x:c r="K3" s="14" t="n">
        <x:v>22.04781829034586</x:v>
      </x:c>
      <x:c r="L3" s="14" t="n">
        <x:v>20.322802442672728</x:v>
      </x:c>
      <x:c r="M3" s="14" t="n">
        <x:v>1.7250158476731308</x:v>
      </x:c>
      <x:c r="N3" s="15" t="n">
        <x:f>IFERROR(ABS(M3)/L3,"")</x:f>
        <x:v>0.08488080581106448</x:v>
      </x:c>
      <x:c r="O3" s="16" t="n">
        <x:v>0.6583411346303264</x:v>
      </x:c>
      <x:c r="P3" s="16" t="n">
        <x:v>0.09906330886068827</x:v>
      </x:c>
      <x:c r="Q3" s="16" t="n">
        <x:v>0.6583411346303264</x:v>
      </x:c>
      <x:c r="R3" s="17" t="b">
        <x:v>1</x:v>
      </x:c>
      <x:c r="S3" s="18" t="n">
        <x:v>3.014619500027038</x:v>
      </x:c>
      <x:c r="T3" s="14" t="n">
        <x:f>IF(M3="","",ABS(M3))</x:f>
        <x:v>1.7250158476731308</x:v>
      </x:c>
    </x:row>
    <x:row r="4">
      <x:c r="A4" s="13" t="n">
        <x:v>3</x:v>
      </x:c>
      <x:c r="B4" s="13" t="str">
        <x:v>video_20260729_151057.mp4</x:v>
      </x:c>
      <x:c r="C4" s="25" t="str">
        <x:v>D:\Lightglue\lg_env\SU01\model2\video_20260729_151057.mp4</x:v>
      </x:c>
      <x:c r="D4" s="13" t="str">
        <x:v>QUALITY_WARNING</x:v>
      </x:c>
      <x:c r="E4" s="25" t="str">
        <x:v>RT result produced, but the analyzer quality flag is false.</x:v>
      </x:c>
      <x:c r="F4" s="13" t="n">
        <x:v>50</x:v>
      </x:c>
      <x:c r="G4" s="13" t="n">
        <x:v>138</x:v>
      </x:c>
      <x:c r="H4" s="14" t="n">
        <x:v>0.8356581392996992</x:v>
      </x:c>
      <x:c r="I4" s="14" t="n">
        <x:v>2.2908118904329964</x:v>
      </x:c>
      <x:c r="J4" s="14" t="n">
        <x:v>2.9270624776212215</x:v>
      </x:c>
      <x:c r="K4" s="14" t="n">
        <x:v>22.338551260816466</x:v>
      </x:c>
      <x:c r="L4" s="14" t="n">
        <x:v>20.322802442672728</x:v>
      </x:c>
      <x:c r="M4" s="14" t="n">
        <x:v>2.015748818143738</x:v>
      </x:c>
      <x:c r="N4" s="15" t="n">
        <x:f>IFERROR(ABS(M4)/L4,"")</x:f>
        <x:v>0.09918655775106966</x:v>
      </x:c>
      <x:c r="O4" s="16" t="n">
        <x:v>0.8149881411526477</x:v>
      </x:c>
      <x:c r="P4" s="16" t="n">
        <x:v>0.03761644301062832</x:v>
      </x:c>
      <x:c r="Q4" s="16" t="n">
        <x:v>0.8149881411526477</x:v>
      </x:c>
      <x:c r="R4" s="17" t="b">
        <x:v>0</x:v>
      </x:c>
      <x:c r="S4" s="18" t="n">
        <x:v>2.461485999985598</x:v>
      </x:c>
      <x:c r="T4" s="14" t="n">
        <x:f>IF(M4="","",ABS(M4))</x:f>
        <x:v>2.015748818143738</x:v>
      </x:c>
    </x:row>
    <x:row r="5">
      <x:c r="A5" s="13" t="n">
        <x:v>4</x:v>
      </x:c>
      <x:c r="B5" s="13" t="str">
        <x:v>video_20260729_151442.mp4</x:v>
      </x:c>
      <x:c r="C5" s="25" t="str">
        <x:v>D:\Lightglue\lg_env\SU01\model2\video_20260729_151442.mp4</x:v>
      </x:c>
      <x:c r="D5" s="13" t="str">
        <x:v>OK</x:v>
      </x:c>
      <x:c r="E5" s="25" t="str"/>
      <x:c r="F5" s="13" t="n">
        <x:v>50</x:v>
      </x:c>
      <x:c r="G5" s="13" t="n">
        <x:v>64</x:v>
      </x:c>
      <x:c r="H5" s="14" t="n">
        <x:v>0.2378528299870383</x:v>
      </x:c>
      <x:c r="I5" s="14" t="n">
        <x:v>1.0564860478992415</x:v>
      </x:c>
      <x:c r="J5" s="14" t="n">
        <x:v>2.828760211122937</x:v>
      </x:c>
      <x:c r="K5" s="14" t="n">
        <x:v>19.966003183157053</x:v>
      </x:c>
      <x:c r="L5" s="14" t="n">
        <x:v>20.322802442672728</x:v>
      </x:c>
      <x:c r="M5" s="14" t="n">
        <x:v>-0.35679925951567526</x:v>
      </x:c>
      <x:c r="N5" s="15" t="n">
        <x:f>IFERROR(ABS(M5)/L5,"")</x:f>
        <x:v>0.017556597350298863</x:v>
      </x:c>
      <x:c r="O5" s="16" t="n">
        <x:v>0.37852504728706626</x:v>
      </x:c>
      <x:c r="P5" s="16" t="n">
        <x:v>0.3444666617139558</x:v>
      </x:c>
      <x:c r="Q5" s="16" t="n">
        <x:v>0.37852504728706626</x:v>
      </x:c>
      <x:c r="R5" s="17" t="b">
        <x:v>1</x:v>
      </x:c>
      <x:c r="S5" s="18" t="n">
        <x:v>2.0378936999477446</x:v>
      </x:c>
      <x:c r="T5" s="14" t="n">
        <x:f>IF(M5="","",ABS(M5))</x:f>
        <x:v>0.35679925951567526</x:v>
      </x:c>
    </x:row>
    <x:row r="6">
      <x:c r="A6" s="13" t="n">
        <x:v>5</x:v>
      </x:c>
      <x:c r="B6" s="13" t="str">
        <x:v>video_20260729_151647.mp4</x:v>
      </x:c>
      <x:c r="C6" s="25" t="str">
        <x:v>D:\Lightglue\lg_env\SU01\model2\video_20260729_151647.mp4</x:v>
      </x:c>
      <x:c r="D6" s="13" t="str">
        <x:v>OK</x:v>
      </x:c>
      <x:c r="E6" s="25" t="str"/>
      <x:c r="F6" s="13" t="n">
        <x:v>50</x:v>
      </x:c>
      <x:c r="G6" s="13" t="n">
        <x:v>114</x:v>
      </x:c>
      <x:c r="H6" s="14" t="n">
        <x:v>0.6369282786270525</x:v>
      </x:c>
      <x:c r="I6" s="14" t="n">
        <x:v>1.3394160878336816</x:v>
      </x:c>
      <x:c r="J6" s="14" t="n">
        <x:v>3.6717819662066473</x:v>
      </x:c>
      <x:c r="K6" s="14" t="n">
        <x:v>20.597568446615284</x:v>
      </x:c>
      <x:c r="L6" s="14" t="n">
        <x:v>20.322802442672728</x:v>
      </x:c>
      <x:c r="M6" s="14" t="n">
        <x:v>0.2747660039425561</x:v>
      </x:c>
      <x:c r="N6" s="15" t="n">
        <x:f>IFERROR(ABS(M6)/L6,"")</x:f>
        <x:v>0.013520084383914359</x:v>
      </x:c>
      <x:c r="O6" s="16" t="n">
        <x:v>0.4560281922399937</x:v>
      </x:c>
      <x:c r="P6" s="16" t="n">
        <x:v>0.3430050402279355</x:v>
      </x:c>
      <x:c r="Q6" s="16" t="n">
        <x:v>0.4560281922399937</x:v>
      </x:c>
      <x:c r="R6" s="17" t="b">
        <x:v>1</x:v>
      </x:c>
      <x:c r="S6" s="18" t="n">
        <x:v>2.648345100111328</x:v>
      </x:c>
      <x:c r="T6" s="14" t="n">
        <x:f>IF(M6="","",ABS(M6))</x:f>
        <x:v>0.2747660039425561</x:v>
      </x:c>
    </x:row>
    <x:row r="7">
      <x:c r="A7" s="13" t="n">
        <x:v>6</x:v>
      </x:c>
      <x:c r="B7" s="13" t="str">
        <x:v>video_20260729_152715.mp4</x:v>
      </x:c>
      <x:c r="C7" s="25" t="str">
        <x:v>D:\Lightglue\lg_env\SU01\model2\video_20260729_152715.mp4</x:v>
      </x:c>
      <x:c r="D7" s="13" t="str">
        <x:v>OK</x:v>
      </x:c>
      <x:c r="E7" s="25" t="str"/>
      <x:c r="F7" s="13" t="n">
        <x:v>50</x:v>
      </x:c>
      <x:c r="G7" s="13" t="n">
        <x:v>85</x:v>
      </x:c>
      <x:c r="H7" s="14" t="n">
        <x:v>1.3113532012901417</x:v>
      </x:c>
      <x:c r="I7" s="14" t="n">
        <x:v>2.7259613616934457</x:v>
      </x:c>
      <x:c r="J7" s="14" t="n">
        <x:v>3.9093649665732646</x:v>
      </x:c>
      <x:c r="K7" s="14" t="n">
        <x:v>22.62307607095423</x:v>
      </x:c>
      <x:c r="L7" s="14" t="n">
        <x:v>20.322802442672728</x:v>
      </x:c>
      <x:c r="M7" s="14" t="n">
        <x:v>2.300273628281502</x:v>
      </x:c>
      <x:c r="N7" s="15" t="n">
        <x:f>IFERROR(ABS(M7)/L7,"")</x:f>
        <x:v>0.11318683211974305</x:v>
      </x:c>
      <x:c r="O7" s="16" t="n">
        <x:v>0.4291786276156281</x:v>
      </x:c>
      <x:c r="P7" s="16" t="n">
        <x:v>0.38137863184039494</x:v>
      </x:c>
      <x:c r="Q7" s="16" t="n">
        <x:v>0.4291786276156281</x:v>
      </x:c>
      <x:c r="R7" s="17" t="b">
        <x:v>1</x:v>
      </x:c>
      <x:c r="S7" s="18" t="n">
        <x:v>2.010842200019397</x:v>
      </x:c>
      <x:c r="T7" s="14" t="n">
        <x:f>IF(M7="","",ABS(M7))</x:f>
        <x:v>2.300273628281502</x:v>
      </x:c>
    </x:row>
    <x:row r="8">
      <x:c r="A8" s="13" t="n">
        <x:v>7</x:v>
      </x:c>
      <x:c r="B8" s="13" t="str">
        <x:v>video_20260729_152858.mp4</x:v>
      </x:c>
      <x:c r="C8" s="25" t="str">
        <x:v>D:\Lightglue\lg_env\SU01\model2\video_20260729_152858.mp4</x:v>
      </x:c>
      <x:c r="D8" s="13" t="str">
        <x:v>OK</x:v>
      </x:c>
      <x:c r="E8" s="25" t="str"/>
      <x:c r="F8" s="13" t="n">
        <x:v>50</x:v>
      </x:c>
      <x:c r="G8" s="13" t="n">
        <x:v>72</x:v>
      </x:c>
      <x:c r="H8" s="14" t="n">
        <x:v>0.7615938426140978</x:v>
      </x:c>
      <x:c r="I8" s="14" t="n">
        <x:v>1.55028303953412</x:v>
      </x:c>
      <x:c r="J8" s="14" t="n">
        <x:v>3.5228447671067284</x:v>
      </x:c>
      <x:c r="K8" s="14" t="n">
        <x:v>21.20307456402529</x:v>
      </x:c>
      <x:c r="L8" s="14" t="n">
        <x:v>20.322802442672728</x:v>
      </x:c>
      <x:c r="M8" s="14" t="n">
        <x:v>0.8802721213525615</x:v>
      </x:c>
      <x:c r="N8" s="15" t="n">
        <x:f>IFERROR(ABS(M8)/L8,"")</x:f>
        <x:v>0.04331450467206301</x:v>
      </x:c>
      <x:c r="O8" s="16" t="n">
        <x:v>0.49897129529124995</x:v>
      </x:c>
      <x:c r="P8" s="16" t="n">
        <x:v>0.3387439553375087</x:v>
      </x:c>
      <x:c r="Q8" s="16" t="n">
        <x:v>0.49897129529124995</x:v>
      </x:c>
      <x:c r="R8" s="17" t="b">
        <x:v>1</x:v>
      </x:c>
      <x:c r="S8" s="18" t="n">
        <x:v>1.9712947000516579</x:v>
      </x:c>
      <x:c r="T8" s="14" t="n">
        <x:f>IF(M8="","",ABS(M8))</x:f>
        <x:v>0.8802721213525615</x:v>
      </x:c>
    </x:row>
    <x:row r="9">
      <x:c r="A9" s="13" t="n">
        <x:v>8</x:v>
      </x:c>
      <x:c r="B9" s="13" t="str">
        <x:v>video_20260729_153044.mp4</x:v>
      </x:c>
      <x:c r="C9" s="25" t="str">
        <x:v>D:\Lightglue\lg_env\SU01\model2\video_20260729_153044.mp4</x:v>
      </x:c>
      <x:c r="D9" s="13" t="str">
        <x:v>OK</x:v>
      </x:c>
      <x:c r="E9" s="25" t="str"/>
      <x:c r="F9" s="13" t="n">
        <x:v>50</x:v>
      </x:c>
      <x:c r="G9" s="13" t="n">
        <x:v>85</x:v>
      </x:c>
      <x:c r="H9" s="14" t="n">
        <x:v>0.9303563859515999</x:v>
      </x:c>
      <x:c r="I9" s="14" t="n">
        <x:v>2.2210070188562367</x:v>
      </x:c>
      <x:c r="J9" s="14" t="n">
        <x:v>6.08703471698027</x:v>
      </x:c>
      <x:c r="K9" s="14" t="n">
        <x:v>20.745622992879504</x:v>
      </x:c>
      <x:c r="L9" s="14" t="n">
        <x:v>20.322802442672728</x:v>
      </x:c>
      <x:c r="M9" s="14" t="n">
        <x:v>0.4228205502067759</x:v>
      </x:c>
      <x:c r="N9" s="15" t="n">
        <x:f>IFERROR(ABS(M9)/L9,"")</x:f>
        <x:v>0.020805228580038748</x:v>
      </x:c>
      <x:c r="O9" s="16" t="n">
        <x:v>0.3802319608359336</x:v>
      </x:c>
      <x:c r="P9" s="16" t="n">
        <x:v>0.17890115919769126</x:v>
      </x:c>
      <x:c r="Q9" s="16" t="n">
        <x:v>0.3802319608359336</x:v>
      </x:c>
      <x:c r="R9" s="17" t="b">
        <x:v>1</x:v>
      </x:c>
      <x:c r="S9" s="18" t="n">
        <x:v>2.3563747999724</x:v>
      </x:c>
      <x:c r="T9" s="14" t="n">
        <x:f>IF(M9="","",ABS(M9))</x:f>
        <x:v>0.4228205502067759</x:v>
      </x:c>
    </x:row>
    <x:row r="10">
      <x:c r="A10" s="13" t="n">
        <x:v>9</x:v>
      </x:c>
      <x:c r="B10" s="13" t="str">
        <x:v>video_20260729_153549.mp4</x:v>
      </x:c>
      <x:c r="C10" s="25" t="str">
        <x:v>D:\Lightglue\lg_env\SU01\model2\video_20260729_153549.mp4</x:v>
      </x:c>
      <x:c r="D10" s="13" t="str">
        <x:v>OK</x:v>
      </x:c>
      <x:c r="E10" s="25" t="str"/>
      <x:c r="F10" s="13" t="n">
        <x:v>50</x:v>
      </x:c>
      <x:c r="G10" s="13" t="n">
        <x:v>126</x:v>
      </x:c>
      <x:c r="H10" s="14" t="n">
        <x:v>1.175358016176788</x:v>
      </x:c>
      <x:c r="I10" s="14" t="n">
        <x:v>2.1583787403210213</x:v>
      </x:c>
      <x:c r="J10" s="14" t="n">
        <x:v>2.338425039345089</x:v>
      </x:c>
      <x:c r="K10" s="14" t="n">
        <x:v>22.29861851639315</x:v>
      </x:c>
      <x:c r="L10" s="14" t="n">
        <x:v>20.322802442672728</x:v>
      </x:c>
      <x:c r="M10" s="14" t="n">
        <x:v>1.9758160737204236</x:v>
      </x:c>
      <x:c r="N10" s="15" t="n">
        <x:f>IFERROR(ABS(M10)/L10,"")</x:f>
        <x:v>0.09722163462907611</x:v>
      </x:c>
      <x:c r="O10" s="16" t="n">
        <x:v>0.3160236941945965</x:v>
      </x:c>
      <x:c r="P10" s="16" t="n">
        <x:v>0.22013482002043314</x:v>
      </x:c>
      <x:c r="Q10" s="16" t="n">
        <x:v>0.3160236941945965</x:v>
      </x:c>
      <x:c r="R10" s="17" t="b">
        <x:v>1</x:v>
      </x:c>
      <x:c r="S10" s="18" t="n">
        <x:v>1.8006436000578105</x:v>
      </x:c>
      <x:c r="T10" s="14" t="n">
        <x:f>IF(M10="","",ABS(M10))</x:f>
        <x:v>1.9758160737204236</x:v>
      </x:c>
    </x:row>
    <x:row r="11">
      <x:c r="A11" s="13" t="n">
        <x:v>10</x:v>
      </x:c>
      <x:c r="B11" s="13" t="str">
        <x:v>video_20260729_155047.mp4</x:v>
      </x:c>
      <x:c r="C11" s="25" t="str">
        <x:v>D:\Lightglue\lg_env\SU01\model2\video_20260729_155047.mp4</x:v>
      </x:c>
      <x:c r="D11" s="13" t="str">
        <x:v>OK</x:v>
      </x:c>
      <x:c r="E11" s="25" t="str"/>
      <x:c r="F11" s="13" t="n">
        <x:v>50</x:v>
      </x:c>
      <x:c r="G11" s="13" t="n">
        <x:v>52</x:v>
      </x:c>
      <x:c r="H11" s="14" t="n">
        <x:v>0.35580097718410336</x:v>
      </x:c>
      <x:c r="I11" s="14" t="n">
        <x:v>1.107290187216248</x:v>
      </x:c>
      <x:c r="J11" s="14" t="n">
        <x:v>2.977247639793121</x:v>
      </x:c>
      <x:c r="K11" s="14" t="n">
        <x:v>19.960861013183337</x:v>
      </x:c>
      <x:c r="L11" s="14" t="n">
        <x:v>20.322802442672728</x:v>
      </x:c>
      <x:c r="M11" s="14" t="n">
        <x:v>-0.36194142948939145</x:v>
      </x:c>
      <x:c r="N11" s="15" t="n">
        <x:f>IFERROR(ABS(M11)/L11,"")</x:f>
        <x:v>0.01780962200023193</x:v>
      </x:c>
      <x:c r="O11" s="16" t="n">
        <x:v>0.5449745633709939</x:v>
      </x:c>
      <x:c r="P11" s="16" t="n">
        <x:v>0.21284118363488055</x:v>
      </x:c>
      <x:c r="Q11" s="16" t="n">
        <x:v>0.5449745633709939</x:v>
      </x:c>
      <x:c r="R11" s="17" t="b">
        <x:v>1</x:v>
      </x:c>
      <x:c r="S11" s="18" t="n">
        <x:v>1.9187225999776274</x:v>
      </x:c>
      <x:c r="T11" s="14" t="n">
        <x:f>IF(M11="","",ABS(M11))</x:f>
        <x:v>0.36194142948939145</x:v>
      </x:c>
    </x:row>
    <x:row r="12">
      <x:c r="A12" s="13" t="n">
        <x:v>11</x:v>
      </x:c>
      <x:c r="B12" s="13" t="str">
        <x:v>video_20260729_155132.mp4</x:v>
      </x:c>
      <x:c r="C12" s="25" t="str">
        <x:v>D:\Lightglue\lg_env\SU01\model2\video_20260729_155132.mp4</x:v>
      </x:c>
      <x:c r="D12" s="13" t="str">
        <x:v>QUALITY_WARNING</x:v>
      </x:c>
      <x:c r="E12" s="25" t="str">
        <x:v>RT result produced, but the analyzer quality flag is false.</x:v>
      </x:c>
      <x:c r="F12" s="13" t="n">
        <x:v>50</x:v>
      </x:c>
      <x:c r="G12" s="13" t="n">
        <x:v>113</x:v>
      </x:c>
      <x:c r="H12" s="14" t="n">
        <x:v>2.491314356116147</x:v>
      </x:c>
      <x:c r="I12" s="14" t="n">
        <x:v>5.690004936465987</x:v>
      </x:c>
      <x:c r="J12" s="14" t="n">
        <x:v>13.246750667102575</x:v>
      </x:c>
      <x:c r="K12" s="14" t="n">
        <x:v>23.051568498890287</x:v>
      </x:c>
      <x:c r="L12" s="14" t="n">
        <x:v>20.322802442672728</x:v>
      </x:c>
      <x:c r="M12" s="14" t="n">
        <x:v>2.728766056217559</x:v>
      </x:c>
      <x:c r="N12" s="15" t="n">
        <x:f>IFERROR(ABS(M12)/L12,"")</x:f>
        <x:v>0.13427115005004636</x:v>
      </x:c>
      <x:c r="O12" s="16" t="n">
        <x:v>0.3214624225785392</x:v>
      </x:c>
      <x:c r="P12" s="16" t="n">
        <x:v>0.047986331681326724</x:v>
      </x:c>
      <x:c r="Q12" s="16" t="n">
        <x:v>0.3214624225785392</x:v>
      </x:c>
      <x:c r="R12" s="17" t="b">
        <x:v>0</x:v>
      </x:c>
      <x:c r="S12" s="18" t="n">
        <x:v>2.377716499962844</x:v>
      </x:c>
      <x:c r="T12" s="14" t="n">
        <x:f>IF(M12="","",ABS(M12))</x:f>
        <x:v>2.728766056217559</x:v>
      </x:c>
    </x:row>
    <x:row r="13">
      <x:c r="A13" s="19" t="n">
        <x:v>12</x:v>
      </x:c>
      <x:c r="B13" s="19" t="str">
        <x:v>video_20260729_155315.mp4</x:v>
      </x:c>
      <x:c r="C13" s="26" t="str">
        <x:v>D:\Lightglue\lg_env\SU01\model2\video_20260729_155315.mp4</x:v>
      </x:c>
      <x:c r="D13" s="19" t="str">
        <x:v>OK</x:v>
      </x:c>
      <x:c r="E13" s="26" t="str"/>
      <x:c r="F13" s="19" t="n">
        <x:v>50</x:v>
      </x:c>
      <x:c r="G13" s="19" t="n">
        <x:v>107</x:v>
      </x:c>
      <x:c r="H13" s="20" t="n">
        <x:v>0.708215430069678</x:v>
      </x:c>
      <x:c r="I13" s="20" t="n">
        <x:v>1.7594596829022062</x:v>
      </x:c>
      <x:c r="J13" s="20" t="n">
        <x:v>4.960446752172627</x:v>
      </x:c>
      <x:c r="K13" s="20" t="n">
        <x:v>20.158980974304896</x:v>
      </x:c>
      <x:c r="L13" s="20" t="n">
        <x:v>20.322802442672728</x:v>
      </x:c>
      <x:c r="M13" s="20" t="n">
        <x:v>-0.16382146836783207</x:v>
      </x:c>
      <x:c r="N13" s="21" t="n">
        <x:f>IFERROR(ABS(M13)/L13,"")</x:f>
        <x:v>0.00806096840383827</x:v>
      </x:c>
      <x:c r="O13" s="22" t="n">
        <x:v>0.5260458476910456</x:v>
      </x:c>
      <x:c r="P13" s="22" t="n">
        <x:v>0.221121227783431</x:v>
      </x:c>
      <x:c r="Q13" s="22" t="n">
        <x:v>0.5260458476910456</x:v>
      </x:c>
      <x:c r="R13" s="23" t="b">
        <x:v>1</x:v>
      </x:c>
      <x:c r="S13" s="24" t="n">
        <x:v>1.7373118000105023</x:v>
      </x:c>
      <x:c r="T13" s="20" t="n">
        <x:f>IF(M13="","",ABS(M13))</x:f>
        <x:v>0.16382146836783207</x:v>
      </x:c>
    </x:row>
  </x:sheetData>
  <x:conditionalFormatting sqref="D2:D13">
    <x:cfRule type="containsText" dxfId="0" priority="1" operator="containsText" text="FAILED"/>
    <x:cfRule type="containsText" dxfId="1" priority="2" operator="containsText" text="QUALITY_WARNING"/>
    <x:cfRule type="containsText" dxfId="2" priority="3" operator="containsText" text="OK"/>
  </x:conditionalFormatting>
  <x:conditionalFormatting sqref="N2:N13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900a0e71af34f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27" t="str">
        <x:v>Metric</x:v>
      </x:c>
      <x:c r="B1" s="27" t="str">
        <x:v>Value</x:v>
      </x:c>
    </x:row>
    <x:row r="2">
      <x:c r="A2" s="29" t="str">
        <x:v>Total Videos</x:v>
      </x:c>
      <x:c r="B2" s="28" t="n">
        <x:f>COUNTA('RT Results'!B2:B13)</x:f>
        <x:v>12</x:v>
      </x:c>
    </x:row>
    <x:row r="3">
      <x:c r="A3" s="29" t="str">
        <x:v>RT Results Produced</x:v>
      </x:c>
      <x:c r="B3" s="28" t="n">
        <x:f>COUNT('RT Results'!K2:K13)</x:f>
        <x:v>12</x:v>
      </x:c>
    </x:row>
    <x:row r="4">
      <x:c r="A4" s="29" t="str">
        <x:v>Quality OK</x:v>
      </x:c>
      <x:c r="B4" s="28" t="n">
        <x:f>COUNTIF('RT Results'!D2:D13,"OK")</x:f>
        <x:v>10</x:v>
      </x:c>
    </x:row>
    <x:row r="5">
      <x:c r="A5" s="29" t="str">
        <x:v>Quality Warnings</x:v>
      </x:c>
      <x:c r="B5" s="28" t="n">
        <x:f>COUNTIF('RT Results'!D2:D13,"QUALITY_WARNING")</x:f>
        <x:v>2</x:v>
      </x:c>
    </x:row>
    <x:row r="6">
      <x:c r="A6" s="29" t="str">
        <x:v>Failed</x:v>
      </x:c>
      <x:c r="B6" s="28" t="n">
        <x:f>COUNTIF('RT Results'!D2:D13,"FAILED")</x:f>
        <x:v>0</x:v>
      </x:c>
    </x:row>
    <x:row r="7">
      <x:c r="A7" s="29" t="str">
        <x:v>Mean Rotation Error (deg)</x:v>
      </x:c>
      <x:c r="B7" s="30" t="n">
        <x:f>IFERROR(AVERAGE('RT Results'!H2:H13),"")</x:f>
        <x:v>0.8854873243816623</x:v>
      </x:c>
    </x:row>
    <x:row r="8">
      <x:c r="A8" s="29" t="str">
        <x:v>Mean Absolute Baseline Delta (mm)</x:v>
      </x:c>
      <x:c r="B8" s="30" t="n">
        <x:f>IFERROR(AVERAGE('RT Results'!T2:T13),"")</x:f>
        <x:v>1.2447587657644696</x:v>
      </x:c>
    </x:row>
    <x:row r="9">
      <x:c r="A9" s="29" t="str">
        <x:v>Mean Baseline Error (%)</x:v>
      </x:c>
      <x:c r="B9" s="31" t="n">
        <x:f>IFERROR(AVERAGE('RT Results'!N2:N13),"")</x:f>
        <x:v>0.06124936603973436</x:v>
      </x:c>
    </x:row>
    <x:row r="10">
      <x:c r="A10" s="29" t="str">
        <x:v>Maximum Baseline Error (%)</x:v>
      </x:c>
      <x:c r="B10" s="31" t="n">
        <x:f>IFERROR(MAX('RT Results'!N2:N13),"")</x:f>
        <x:v>0.13427115005004636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</x:cols>
  <x:sheetData>
    <x:row r="1">
      <x:c r="A1" s="27" t="str">
        <x:v>Parameter</x:v>
      </x:c>
      <x:c r="B1" s="27" t="str">
        <x:v>Value</x:v>
      </x:c>
    </x:row>
    <x:row r="2">
      <x:c r="A2" s="29" t="str">
        <x:v>Generated At</x:v>
      </x:c>
      <x:c r="B2" s="34" t="str">
        <x:v>2026-07-29T16:12:59</x:v>
      </x:c>
    </x:row>
    <x:row r="3">
      <x:c r="A3" s="29" t="str">
        <x:v>Source Folder</x:v>
      </x:c>
      <x:c r="B3" s="34" t="str">
        <x:v>D:\Lightglue\lg_env\SU01\model2</x:v>
      </x:c>
    </x:row>
    <x:row r="4">
      <x:c r="A4" s="29" t="str">
        <x:v>Calibration File</x:v>
      </x:c>
      <x:c r="B4" s="34" t="str">
        <x:v>D:\Lightglue\lg_env\calibration_result_su01.json</x:v>
      </x:c>
    </x:row>
    <x:row r="5">
      <x:c r="A5" s="29" t="str">
        <x:v>Reference Frame Index (zero-based)</x:v>
      </x:c>
      <x:c r="B5" s="34" t="n">
        <x:v>50</x:v>
      </x:c>
    </x:row>
    <x:row r="6">
      <x:c r="A6" s="29" t="str">
        <x:v>Recursive Search</x:v>
      </x:c>
      <x:c r="B6" s="35" t="b">
        <x:v>0</x:v>
      </x:c>
    </x:row>
    <x:row r="7">
      <x:c r="A7" s="29" t="str">
        <x:v>Baseline Error Formula</x:v>
      </x:c>
      <x:c r="B7" s="34" t="str">
        <x:v>ABS(Algorithm Baseline - JSON Baseline) / JSON Baseline</x:v>
      </x:c>
    </x:row>
    <x:row r="8">
      <x:c r="A8" s="29" t="str">
        <x:v>Extrinsic Usage</x:v>
      </x:c>
      <x:c r="B8" s="34" t="str">
        <x:v>JSON R/T are ground truth only and are not used by RT estimation.</x:v>
      </x:c>
    </x:row>
  </x:sheetData>
  <x:pageMargins left="0.7" right="0.7" top="0.75" bottom="0.75" header="0.3" footer="0.3"/>
</x:worksheet>
</file>