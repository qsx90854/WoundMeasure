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ightglue\lg_env\SU01\model2\"/>
    </mc:Choice>
  </mc:AlternateContent>
  <xr:revisionPtr revIDLastSave="0" documentId="13_ncr:1_{788B29CB-1BB9-4DF1-AEC5-63610326D111}" xr6:coauthVersionLast="47" xr6:coauthVersionMax="47" xr10:uidLastSave="{00000000-0000-0000-0000-000000000000}"/>
  <bookViews>
    <workbookView xWindow="20370" yWindow="-120" windowWidth="29040" windowHeight="15840" activeTab="2" xr2:uid="{00000000-000D-0000-FFFF-FFFF00000000}"/>
  </bookViews>
  <sheets>
    <sheet name="RT Results" sheetId="1" r:id="rId1"/>
    <sheet name="Summary" sheetId="2" r:id="rId2"/>
    <sheet name="Protoco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H2" i="1"/>
  <c r="H13" i="1"/>
  <c r="H5" i="1"/>
  <c r="H10" i="1"/>
  <c r="H6" i="1"/>
  <c r="H7" i="1"/>
  <c r="H12" i="1"/>
  <c r="H3" i="1"/>
  <c r="H4" i="1"/>
  <c r="H11" i="1"/>
  <c r="H8" i="1"/>
  <c r="B5" i="2"/>
  <c r="H9" i="1"/>
  <c r="B7" i="2" l="1"/>
  <c r="B6" i="2"/>
</calcChain>
</file>

<file path=xl/sharedStrings.xml><?xml version="1.0" encoding="utf-8"?>
<sst xmlns="http://schemas.openxmlformats.org/spreadsheetml/2006/main" count="57" uniqueCount="56">
  <si>
    <t>Run #</t>
  </si>
  <si>
    <t>Video File</t>
  </si>
  <si>
    <t>Video Path</t>
  </si>
  <si>
    <t>Rotation Error (deg)</t>
  </si>
  <si>
    <t>Algorithm Baseline (mm)</t>
  </si>
  <si>
    <t>JSON Baseline (mm)</t>
  </si>
  <si>
    <t>Baseline Delta (mm)</t>
  </si>
  <si>
    <t>Baseline Error (%)</t>
  </si>
  <si>
    <t>Marker Bidirectional RMS (px)</t>
  </si>
  <si>
    <t>Feature Median (px)</t>
  </si>
  <si>
    <t>Processing Time (s)</t>
  </si>
  <si>
    <t>video_20260729_150509.mp4</t>
  </si>
  <si>
    <t>D:\Lightglue\lg_env\SU01\model2\video_20260729_150509.mp4</t>
  </si>
  <si>
    <t>video_20260729_150648.mp4</t>
  </si>
  <si>
    <t>D:\Lightglue\lg_env\SU01\model2\video_20260729_150648.mp4</t>
  </si>
  <si>
    <t>video_20260729_151057.mp4</t>
  </si>
  <si>
    <t>D:\Lightglue\lg_env\SU01\model2\video_20260729_151057.mp4</t>
  </si>
  <si>
    <t>video_20260729_151442.mp4</t>
  </si>
  <si>
    <t>D:\Lightglue\lg_env\SU01\model2\video_20260729_151442.mp4</t>
  </si>
  <si>
    <t>video_20260729_151647.mp4</t>
  </si>
  <si>
    <t>D:\Lightglue\lg_env\SU01\model2\video_20260729_151647.mp4</t>
  </si>
  <si>
    <t>video_20260729_152715.mp4</t>
  </si>
  <si>
    <t>D:\Lightglue\lg_env\SU01\model2\video_20260729_152715.mp4</t>
  </si>
  <si>
    <t>video_20260729_152858.mp4</t>
  </si>
  <si>
    <t>D:\Lightglue\lg_env\SU01\model2\video_20260729_152858.mp4</t>
  </si>
  <si>
    <t>video_20260729_153044.mp4</t>
  </si>
  <si>
    <t>D:\Lightglue\lg_env\SU01\model2\video_20260729_153044.mp4</t>
  </si>
  <si>
    <t>video_20260729_153549.mp4</t>
  </si>
  <si>
    <t>D:\Lightglue\lg_env\SU01\model2\video_20260729_153549.mp4</t>
  </si>
  <si>
    <t>video_20260729_155047.mp4</t>
  </si>
  <si>
    <t>D:\Lightglue\lg_env\SU01\model2\video_20260729_155047.mp4</t>
  </si>
  <si>
    <t>video_20260729_155132.mp4</t>
  </si>
  <si>
    <t>D:\Lightglue\lg_env\SU01\model2\video_20260729_155132.mp4</t>
  </si>
  <si>
    <t>video_20260729_155315.mp4</t>
  </si>
  <si>
    <t>D:\Lightglue\lg_env\SU01\model2\video_20260729_155315.mp4</t>
  </si>
  <si>
    <t>Metric</t>
  </si>
  <si>
    <t>Value</t>
  </si>
  <si>
    <t>Total Videos</t>
  </si>
  <si>
    <t>RT Results Produced</t>
  </si>
  <si>
    <t>Mean Rotation Error (deg)</t>
  </si>
  <si>
    <t>Mean Absolute Baseline Delta (mm)</t>
  </si>
  <si>
    <t>Mean Baseline Error (%)</t>
  </si>
  <si>
    <t>Maximum Baseline Error (%)</t>
  </si>
  <si>
    <t>Parameter</t>
  </si>
  <si>
    <t>Generated At</t>
  </si>
  <si>
    <t>2026-07-29T16:12:59</t>
  </si>
  <si>
    <t>Source Folder</t>
  </si>
  <si>
    <t>D:\Lightglue\lg_env\SU01\model2</t>
  </si>
  <si>
    <t>Calibration File</t>
  </si>
  <si>
    <t>D:\Lightglue\lg_env\calibration_result_su01.json</t>
  </si>
  <si>
    <t>Reference Frame Index (zero-based)</t>
  </si>
  <si>
    <t>Recursive Search</t>
  </si>
  <si>
    <t>Baseline Error Formula</t>
  </si>
  <si>
    <t>ABS(Algorithm Baseline - JSON Baseline) / JSON Baseline</t>
  </si>
  <si>
    <t>Extrinsic Usage</t>
  </si>
  <si>
    <t>JSON R/T are ground truth only and are not used by RT estimation.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</si>
</sst>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"/>
  </numFmts>
  <fonts count="5">
    <font>
      <sz val="11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sz val="11"/>
      <name val="Carlito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9EADBA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2" borderId="1" xfId="1" applyFont="1" applyFill="1" applyBorder="1" applyAlignment="1">
      <alignment vertical="center" wrapText="1"/>
    </xf>
    <xf numFmtId="0" fontId="0" fillId="0" borderId="2" xfId="1" applyFont="1" applyBorder="1" applyAlignment="1">
      <alignment vertical="center"/>
    </xf>
    <xf numFmtId="176" fontId="0" fillId="0" borderId="2" xfId="1" applyNumberFormat="1" applyFont="1" applyBorder="1" applyAlignment="1">
      <alignment vertical="center"/>
    </xf>
    <xf numFmtId="10" fontId="0" fillId="0" borderId="2" xfId="1" applyNumberFormat="1" applyFont="1" applyBorder="1" applyAlignment="1">
      <alignment vertical="center"/>
    </xf>
    <xf numFmtId="177" fontId="0" fillId="0" borderId="2" xfId="1" applyNumberFormat="1" applyFont="1" applyBorder="1" applyAlignment="1">
      <alignment vertical="center"/>
    </xf>
    <xf numFmtId="2" fontId="0" fillId="0" borderId="2" xfId="1" applyNumberFormat="1" applyFont="1" applyBorder="1" applyAlignment="1">
      <alignment vertical="center"/>
    </xf>
    <xf numFmtId="0" fontId="0" fillId="0" borderId="3" xfId="1" applyFont="1" applyBorder="1" applyAlignment="1">
      <alignment vertical="center"/>
    </xf>
    <xf numFmtId="176" fontId="0" fillId="0" borderId="3" xfId="1" applyNumberFormat="1" applyFont="1" applyBorder="1" applyAlignment="1">
      <alignment vertical="center"/>
    </xf>
    <xf numFmtId="10" fontId="0" fillId="0" borderId="3" xfId="1" applyNumberFormat="1" applyFont="1" applyBorder="1" applyAlignment="1">
      <alignment vertical="center"/>
    </xf>
    <xf numFmtId="177" fontId="0" fillId="0" borderId="3" xfId="1" applyNumberFormat="1" applyFont="1" applyBorder="1" applyAlignment="1">
      <alignment vertical="center"/>
    </xf>
    <xf numFmtId="2" fontId="0" fillId="0" borderId="3" xfId="1" applyNumberFormat="1" applyFont="1" applyBorder="1" applyAlignment="1">
      <alignment vertical="center"/>
    </xf>
    <xf numFmtId="0" fontId="0" fillId="0" borderId="2" xfId="1" applyFont="1" applyBorder="1" applyAlignment="1">
      <alignment vertical="center" wrapText="1"/>
    </xf>
    <xf numFmtId="0" fontId="0" fillId="0" borderId="3" xfId="1" applyFont="1" applyBorder="1" applyAlignment="1">
      <alignment vertical="center" wrapText="1"/>
    </xf>
    <xf numFmtId="0" fontId="1" fillId="2" borderId="4" xfId="1" applyFont="1" applyFill="1" applyBorder="1"/>
    <xf numFmtId="0" fontId="0" fillId="0" borderId="4" xfId="1" applyFont="1" applyBorder="1"/>
    <xf numFmtId="0" fontId="2" fillId="0" borderId="4" xfId="1" applyFont="1" applyBorder="1"/>
    <xf numFmtId="176" fontId="0" fillId="0" borderId="4" xfId="1" applyNumberFormat="1" applyFont="1" applyBorder="1"/>
    <xf numFmtId="10" fontId="0" fillId="0" borderId="4" xfId="1" applyNumberFormat="1" applyFont="1" applyBorder="1"/>
    <xf numFmtId="0" fontId="0" fillId="0" borderId="4" xfId="1" applyFont="1" applyBorder="1" applyAlignment="1">
      <alignment wrapText="1"/>
    </xf>
    <xf numFmtId="0" fontId="0" fillId="0" borderId="4" xfId="1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Normal" xfId="1" xr:uid="{00000000-0005-0000-0000-000000000000}"/>
    <cellStyle name="一般" xfId="0" builtinId="0"/>
  </cellStyles>
  <dxfs count="3"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B91C1C"/>
      </font>
      <fill>
        <patternFill patternType="solid"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BVCAMRTResults" displayName="HBVCAMRTResults" ref="A1:K13" totalsRowShown="0">
  <autoFilter ref="A1:K13" xr:uid="{00000000-000C-0000-FFFF-FFFF00000000}"/>
  <sortState xmlns:xlrd2="http://schemas.microsoft.com/office/spreadsheetml/2017/richdata2" ref="A2:K13">
    <sortCondition ref="H1:H13"/>
  </sortState>
  <tableColumns count="11">
    <tableColumn id="1" xr3:uid="{00000000-0010-0000-0000-000001000000}" name="Run #"/>
    <tableColumn id="2" xr3:uid="{00000000-0010-0000-0000-000002000000}" name="Video File"/>
    <tableColumn id="3" xr3:uid="{00000000-0010-0000-0000-000003000000}" name="Video Path"/>
    <tableColumn id="8" xr3:uid="{00000000-0010-0000-0000-000008000000}" name="Rotation Error (deg)"/>
    <tableColumn id="11" xr3:uid="{00000000-0010-0000-0000-00000B000000}" name="Algorithm Baseline (mm)"/>
    <tableColumn id="12" xr3:uid="{00000000-0010-0000-0000-00000C000000}" name="JSON Baseline (mm)"/>
    <tableColumn id="13" xr3:uid="{00000000-0010-0000-0000-00000D000000}" name="Baseline Delta (mm)"/>
    <tableColumn id="14" xr3:uid="{00000000-0010-0000-0000-00000E000000}" name="Baseline Error (%)"/>
    <tableColumn id="16" xr3:uid="{00000000-0010-0000-0000-000010000000}" name="Marker Bidirectional RMS (px)"/>
    <tableColumn id="17" xr3:uid="{00000000-0010-0000-0000-000011000000}" name="Feature Median (px)"/>
    <tableColumn id="19" xr3:uid="{00000000-0010-0000-0000-000013000000}" name="Processing Time (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showGridLines="0" workbookViewId="0">
      <selection activeCell="I21" sqref="I21"/>
    </sheetView>
  </sheetViews>
  <sheetFormatPr defaultRowHeight="14.25"/>
  <cols>
    <col min="1" max="1" width="8" customWidth="1"/>
    <col min="2" max="2" width="28" customWidth="1"/>
    <col min="3" max="3" width="52" customWidth="1"/>
    <col min="4" max="4" width="20" customWidth="1"/>
    <col min="5" max="5" width="22" customWidth="1"/>
    <col min="6" max="6" width="19" customWidth="1"/>
    <col min="7" max="7" width="20" customWidth="1"/>
    <col min="8" max="8" width="19" customWidth="1"/>
    <col min="9" max="9" width="28" customWidth="1"/>
    <col min="10" max="10" width="20" customWidth="1"/>
    <col min="11" max="11" width="19" customWidth="1"/>
  </cols>
  <sheetData>
    <row r="1" spans="1:11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5">
      <c r="A2" s="2">
        <v>12</v>
      </c>
      <c r="B2" s="2" t="s">
        <v>33</v>
      </c>
      <c r="C2" s="12" t="s">
        <v>34</v>
      </c>
      <c r="D2" s="3">
        <v>0.70821543006967802</v>
      </c>
      <c r="E2" s="3">
        <v>20.158980974304896</v>
      </c>
      <c r="F2" s="3">
        <v>20.322802442672728</v>
      </c>
      <c r="G2" s="3">
        <v>-0.16382146836783207</v>
      </c>
      <c r="H2" s="4">
        <f>IFERROR(ABS(G2)/F2,"")</f>
        <v>8.0609684038382701E-3</v>
      </c>
      <c r="I2" s="5">
        <v>0.22112122778343099</v>
      </c>
      <c r="J2" s="5">
        <v>0.52604584769104556</v>
      </c>
      <c r="K2" s="6">
        <v>1.7373118000105023</v>
      </c>
    </row>
    <row r="3" spans="1:11" ht="28.5">
      <c r="A3" s="2">
        <v>5</v>
      </c>
      <c r="B3" s="2" t="s">
        <v>19</v>
      </c>
      <c r="C3" s="12" t="s">
        <v>20</v>
      </c>
      <c r="D3" s="3">
        <v>0.63692827862705248</v>
      </c>
      <c r="E3" s="3">
        <v>20.597568446615284</v>
      </c>
      <c r="F3" s="3">
        <v>20.322802442672728</v>
      </c>
      <c r="G3" s="3">
        <v>0.27476600394255613</v>
      </c>
      <c r="H3" s="4">
        <f>IFERROR(ABS(G3)/F3,"")</f>
        <v>1.3520084383914359E-2</v>
      </c>
      <c r="I3" s="5">
        <v>0.34300504022793549</v>
      </c>
      <c r="J3" s="5">
        <v>0.45602819223999369</v>
      </c>
      <c r="K3" s="6">
        <v>2.6483451001113281</v>
      </c>
    </row>
    <row r="4" spans="1:11" ht="28.5">
      <c r="A4" s="2">
        <v>4</v>
      </c>
      <c r="B4" s="2" t="s">
        <v>17</v>
      </c>
      <c r="C4" s="12" t="s">
        <v>18</v>
      </c>
      <c r="D4" s="3">
        <v>0.2378528299870383</v>
      </c>
      <c r="E4" s="3">
        <v>19.966003183157053</v>
      </c>
      <c r="F4" s="3">
        <v>20.322802442672728</v>
      </c>
      <c r="G4" s="3">
        <v>-0.35679925951567526</v>
      </c>
      <c r="H4" s="4">
        <f>IFERROR(ABS(G4)/F4,"")</f>
        <v>1.7556597350298863E-2</v>
      </c>
      <c r="I4" s="5">
        <v>0.34446666171395579</v>
      </c>
      <c r="J4" s="5">
        <v>0.37852504728706626</v>
      </c>
      <c r="K4" s="6">
        <v>2.0378936999477446</v>
      </c>
    </row>
    <row r="5" spans="1:11" ht="28.5">
      <c r="A5" s="2">
        <v>10</v>
      </c>
      <c r="B5" s="2" t="s">
        <v>29</v>
      </c>
      <c r="C5" s="12" t="s">
        <v>30</v>
      </c>
      <c r="D5" s="3">
        <v>0.35580097718410336</v>
      </c>
      <c r="E5" s="3">
        <v>19.960861013183337</v>
      </c>
      <c r="F5" s="3">
        <v>20.322802442672728</v>
      </c>
      <c r="G5" s="3">
        <v>-0.36194142948939145</v>
      </c>
      <c r="H5" s="4">
        <f>IFERROR(ABS(G5)/F5,"")</f>
        <v>1.780962200023193E-2</v>
      </c>
      <c r="I5" s="5">
        <v>0.21284118363488055</v>
      </c>
      <c r="J5" s="5">
        <v>0.54497456337099393</v>
      </c>
      <c r="K5" s="6">
        <v>1.9187225999776274</v>
      </c>
    </row>
    <row r="6" spans="1:11" ht="28.5">
      <c r="A6" s="2">
        <v>8</v>
      </c>
      <c r="B6" s="2" t="s">
        <v>25</v>
      </c>
      <c r="C6" s="12" t="s">
        <v>26</v>
      </c>
      <c r="D6" s="3">
        <v>0.93035638595159986</v>
      </c>
      <c r="E6" s="3">
        <v>20.745622992879504</v>
      </c>
      <c r="F6" s="3">
        <v>20.322802442672728</v>
      </c>
      <c r="G6" s="3">
        <v>0.42282055020677589</v>
      </c>
      <c r="H6" s="4">
        <f>IFERROR(ABS(G6)/F6,"")</f>
        <v>2.0805228580038748E-2</v>
      </c>
      <c r="I6" s="5">
        <v>0.17890115919769126</v>
      </c>
      <c r="J6" s="5">
        <v>0.38023196083593358</v>
      </c>
      <c r="K6" s="6">
        <v>2.3563747999724001</v>
      </c>
    </row>
    <row r="7" spans="1:11" ht="28.5">
      <c r="A7" s="2">
        <v>7</v>
      </c>
      <c r="B7" s="2" t="s">
        <v>23</v>
      </c>
      <c r="C7" s="12" t="s">
        <v>24</v>
      </c>
      <c r="D7" s="3">
        <v>0.76159384261409779</v>
      </c>
      <c r="E7" s="3">
        <v>21.20307456402529</v>
      </c>
      <c r="F7" s="3">
        <v>20.322802442672728</v>
      </c>
      <c r="G7" s="3">
        <v>0.8802721213525615</v>
      </c>
      <c r="H7" s="4">
        <f>IFERROR(ABS(G7)/F7,"")</f>
        <v>4.3314504672063013E-2</v>
      </c>
      <c r="I7" s="5">
        <v>0.33874395533750867</v>
      </c>
      <c r="J7" s="5">
        <v>0.49897129529124995</v>
      </c>
      <c r="K7" s="6">
        <v>1.9712947000516579</v>
      </c>
    </row>
    <row r="8" spans="1:11" ht="28.5">
      <c r="A8" s="2">
        <v>2</v>
      </c>
      <c r="B8" s="2" t="s">
        <v>13</v>
      </c>
      <c r="C8" s="12" t="s">
        <v>14</v>
      </c>
      <c r="D8" s="3">
        <v>0.72808628064932557</v>
      </c>
      <c r="E8" s="3">
        <v>22.047818290345859</v>
      </c>
      <c r="F8" s="3">
        <v>20.322802442672728</v>
      </c>
      <c r="G8" s="3">
        <v>1.7250158476731308</v>
      </c>
      <c r="H8" s="4">
        <f>IFERROR(ABS(G8)/F8,"")</f>
        <v>8.4880805811064483E-2</v>
      </c>
      <c r="I8" s="5">
        <v>9.9063308860688273E-2</v>
      </c>
      <c r="J8" s="5">
        <v>0.6583411346303264</v>
      </c>
      <c r="K8" s="6">
        <v>3.0146195000270382</v>
      </c>
    </row>
    <row r="9" spans="1:11" ht="28.5">
      <c r="A9" s="2">
        <v>1</v>
      </c>
      <c r="B9" s="2" t="s">
        <v>11</v>
      </c>
      <c r="C9" s="12" t="s">
        <v>12</v>
      </c>
      <c r="D9" s="3">
        <v>0.45333015461427523</v>
      </c>
      <c r="E9" s="3">
        <v>22.053866374935218</v>
      </c>
      <c r="F9" s="3">
        <v>20.322802442672728</v>
      </c>
      <c r="G9" s="3">
        <v>1.7310639322624901</v>
      </c>
      <c r="H9" s="4">
        <f>IFERROR(ABS(G9)/F9,"")</f>
        <v>8.517840672542755E-2</v>
      </c>
      <c r="I9" s="5">
        <v>0.23633864946864225</v>
      </c>
      <c r="J9" s="5">
        <v>0.56536295249387702</v>
      </c>
      <c r="K9" s="6">
        <v>3.1338712000288069</v>
      </c>
    </row>
    <row r="10" spans="1:11" ht="28.5">
      <c r="A10" s="2">
        <v>9</v>
      </c>
      <c r="B10" s="2" t="s">
        <v>27</v>
      </c>
      <c r="C10" s="12" t="s">
        <v>28</v>
      </c>
      <c r="D10" s="3">
        <v>1.175358016176788</v>
      </c>
      <c r="E10" s="3">
        <v>22.298618516393152</v>
      </c>
      <c r="F10" s="3">
        <v>20.322802442672728</v>
      </c>
      <c r="G10" s="3">
        <v>1.9758160737204236</v>
      </c>
      <c r="H10" s="4">
        <f>IFERROR(ABS(G10)/F10,"")</f>
        <v>9.7221634629076112E-2</v>
      </c>
      <c r="I10" s="5">
        <v>0.22013482002043314</v>
      </c>
      <c r="J10" s="5">
        <v>0.31602369419459653</v>
      </c>
      <c r="K10" s="6">
        <v>1.8006436000578105</v>
      </c>
    </row>
    <row r="11" spans="1:11" ht="28.5">
      <c r="A11" s="2">
        <v>3</v>
      </c>
      <c r="B11" s="2" t="s">
        <v>15</v>
      </c>
      <c r="C11" s="12" t="s">
        <v>16</v>
      </c>
      <c r="D11" s="3">
        <v>0.83565813929969923</v>
      </c>
      <c r="E11" s="3">
        <v>22.338551260816466</v>
      </c>
      <c r="F11" s="3">
        <v>20.322802442672728</v>
      </c>
      <c r="G11" s="3">
        <v>2.015748818143738</v>
      </c>
      <c r="H11" s="4">
        <f>IFERROR(ABS(G11)/F11,"")</f>
        <v>9.9186557751069659E-2</v>
      </c>
      <c r="I11" s="5">
        <v>3.7616443010628317E-2</v>
      </c>
      <c r="J11" s="5">
        <v>0.81498814115264773</v>
      </c>
      <c r="K11" s="6">
        <v>2.461485999985598</v>
      </c>
    </row>
    <row r="12" spans="1:11" ht="28.5">
      <c r="A12" s="2">
        <v>6</v>
      </c>
      <c r="B12" s="2" t="s">
        <v>21</v>
      </c>
      <c r="C12" s="12" t="s">
        <v>22</v>
      </c>
      <c r="D12" s="3">
        <v>1.3113532012901417</v>
      </c>
      <c r="E12" s="3">
        <v>22.62307607095423</v>
      </c>
      <c r="F12" s="3">
        <v>20.322802442672728</v>
      </c>
      <c r="G12" s="3">
        <v>2.3002736282815022</v>
      </c>
      <c r="H12" s="4">
        <f>IFERROR(ABS(G12)/F12,"")</f>
        <v>0.11318683211974305</v>
      </c>
      <c r="I12" s="5">
        <v>0.38137863184039494</v>
      </c>
      <c r="J12" s="5">
        <v>0.42917862761562808</v>
      </c>
      <c r="K12" s="6">
        <v>2.0108422000193968</v>
      </c>
    </row>
    <row r="13" spans="1:11" ht="28.5">
      <c r="A13" s="7">
        <v>11</v>
      </c>
      <c r="B13" s="7" t="s">
        <v>31</v>
      </c>
      <c r="C13" s="13" t="s">
        <v>32</v>
      </c>
      <c r="D13" s="8">
        <v>2.4913143561161468</v>
      </c>
      <c r="E13" s="8">
        <v>23.051568498890287</v>
      </c>
      <c r="F13" s="8">
        <v>20.322802442672728</v>
      </c>
      <c r="G13" s="8">
        <v>2.7287660562175589</v>
      </c>
      <c r="H13" s="9">
        <f>IFERROR(ABS(G13)/F13,"")</f>
        <v>0.13427115005004636</v>
      </c>
      <c r="I13" s="10">
        <v>4.7986331681326724E-2</v>
      </c>
      <c r="J13" s="10">
        <v>0.32146242257853919</v>
      </c>
      <c r="K13" s="11">
        <v>2.377716499962844</v>
      </c>
    </row>
  </sheetData>
  <phoneticPr fontId="4" type="noConversion"/>
  <conditionalFormatting sqref="H2:H13">
    <cfRule type="colorScale" priority="4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workbookViewId="0">
      <selection activeCell="A20" sqref="A20"/>
    </sheetView>
  </sheetViews>
  <sheetFormatPr defaultRowHeight="14.25"/>
  <cols>
    <col min="1" max="1" width="38" customWidth="1"/>
    <col min="2" max="2" width="22" customWidth="1"/>
  </cols>
  <sheetData>
    <row r="1" spans="1:2" ht="15">
      <c r="A1" s="14" t="s">
        <v>35</v>
      </c>
      <c r="B1" s="14" t="s">
        <v>36</v>
      </c>
    </row>
    <row r="2" spans="1:2" ht="15">
      <c r="A2" s="16" t="s">
        <v>37</v>
      </c>
      <c r="B2" s="15">
        <f>COUNTA('RT Results'!B2:B13)</f>
        <v>12</v>
      </c>
    </row>
    <row r="3" spans="1:2" ht="15">
      <c r="A3" s="16" t="s">
        <v>38</v>
      </c>
      <c r="B3" s="15">
        <f>COUNT('RT Results'!E2:E13)</f>
        <v>12</v>
      </c>
    </row>
    <row r="4" spans="1:2" ht="15">
      <c r="A4" s="16" t="s">
        <v>39</v>
      </c>
      <c r="B4" s="17">
        <f>IFERROR(AVERAGE('RT Results'!D2:D13),"")</f>
        <v>0.88548732438166222</v>
      </c>
    </row>
    <row r="5" spans="1:2" ht="15">
      <c r="A5" s="16" t="s">
        <v>40</v>
      </c>
      <c r="B5" s="17" t="str">
        <f>IFERROR(AVERAGE('RT Results'!#REF!),"")</f>
        <v/>
      </c>
    </row>
    <row r="6" spans="1:2" ht="15">
      <c r="A6" s="16" t="s">
        <v>41</v>
      </c>
      <c r="B6" s="18">
        <f>IFERROR(AVERAGE('RT Results'!H2:H13),"")</f>
        <v>6.1249366039734375E-2</v>
      </c>
    </row>
    <row r="7" spans="1:2" ht="15">
      <c r="A7" s="16" t="s">
        <v>42</v>
      </c>
      <c r="B7" s="18">
        <f>IFERROR(MAX('RT Results'!H2:H13),"")</f>
        <v>0.13427115005004636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tabSelected="1" workbookViewId="0">
      <selection activeCell="A5" sqref="A5:XFD5"/>
    </sheetView>
  </sheetViews>
  <sheetFormatPr defaultRowHeight="14.25"/>
  <cols>
    <col min="1" max="1" width="38" customWidth="1"/>
    <col min="2" max="2" width="78" customWidth="1"/>
  </cols>
  <sheetData>
    <row r="1" spans="1:2" ht="15">
      <c r="A1" s="14" t="s">
        <v>43</v>
      </c>
      <c r="B1" s="14" t="s">
        <v>36</v>
      </c>
    </row>
    <row r="2" spans="1:2" ht="15">
      <c r="A2" s="16" t="s">
        <v>44</v>
      </c>
      <c r="B2" s="19" t="s">
        <v>45</v>
      </c>
    </row>
    <row r="3" spans="1:2" ht="15">
      <c r="A3" s="16" t="s">
        <v>46</v>
      </c>
      <c r="B3" s="19" t="s">
        <v>47</v>
      </c>
    </row>
    <row r="4" spans="1:2" ht="15">
      <c r="A4" s="16" t="s">
        <v>48</v>
      </c>
      <c r="B4" s="19" t="s">
        <v>49</v>
      </c>
    </row>
    <row r="5" spans="1:2" ht="15">
      <c r="A5" s="16" t="s">
        <v>50</v>
      </c>
      <c r="B5" s="19">
        <v>50</v>
      </c>
    </row>
    <row r="6" spans="1:2" ht="15">
      <c r="A6" s="16" t="s">
        <v>51</v>
      </c>
      <c r="B6" s="20" t="b">
        <v>0</v>
      </c>
    </row>
    <row r="7" spans="1:2" ht="15">
      <c r="A7" s="16" t="s">
        <v>52</v>
      </c>
      <c r="B7" s="19" t="s">
        <v>53</v>
      </c>
    </row>
    <row r="8" spans="1:2" ht="15">
      <c r="A8" s="16" t="s">
        <v>54</v>
      </c>
      <c r="B8" s="19" t="s">
        <v>55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RT Results</vt:lpstr>
      <vt:lpstr>Summary</vt:lpstr>
      <vt:lpstr>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GIT Mark Tsai (蔡翔任)</cp:lastModifiedBy>
  <dcterms:created xsi:type="dcterms:W3CDTF">2026-07-29T08:19:25Z</dcterms:created>
  <dcterms:modified xsi:type="dcterms:W3CDTF">2026-07-29T08:23:12Z</dcterms:modified>
</cp:coreProperties>
</file>