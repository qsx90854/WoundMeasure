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SU01\model1\"/>
    </mc:Choice>
  </mc:AlternateContent>
  <xr:revisionPtr revIDLastSave="0" documentId="13_ncr:1_{67BFD6A8-00CC-4EFE-B78D-BCC4CAFA03F1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H2" i="1"/>
  <c r="H9" i="1"/>
  <c r="H11" i="1"/>
  <c r="H13" i="1"/>
  <c r="H7" i="1"/>
  <c r="H12" i="1"/>
  <c r="H3" i="1"/>
  <c r="H5" i="1"/>
  <c r="H10" i="1"/>
  <c r="H6" i="1"/>
  <c r="H4" i="1"/>
  <c r="B5" i="2"/>
  <c r="H8" i="1"/>
  <c r="B7" i="2" l="1"/>
  <c r="B6" i="2"/>
</calcChain>
</file>

<file path=xl/sharedStrings.xml><?xml version="1.0" encoding="utf-8"?>
<sst xmlns="http://schemas.openxmlformats.org/spreadsheetml/2006/main" count="57" uniqueCount="56">
  <si>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</si>
  <si>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</si>
  <si>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</si>
  <si>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</si>
  <si>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</si>
  <si>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</si>
  <si>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</si>
  <si>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</si>
  <si>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Marker Bidirectional RMS (px)</t>
  </si>
  <si>
    <t>Feature Median (px)</t>
  </si>
  <si>
    <t>Processing Time (s)</t>
  </si>
  <si>
    <t>video_20260729_144102.mp4</t>
  </si>
  <si>
    <t>D:\Lightglue\lg_env\SU01\model1\video_20260729_144102.mp4</t>
  </si>
  <si>
    <t>video_20260729_144213.mp4</t>
  </si>
  <si>
    <t>D:\Lightglue\lg_env\SU01\model1\video_20260729_144213.mp4</t>
  </si>
  <si>
    <t>video_20260729_144319.mp4</t>
  </si>
  <si>
    <t>D:\Lightglue\lg_env\SU01\model1\video_20260729_144319.mp4</t>
  </si>
  <si>
    <t>video_20260729_144421.mp4</t>
  </si>
  <si>
    <t>D:\Lightglue\lg_env\SU01\model1\video_20260729_144421.mp4</t>
  </si>
  <si>
    <t>video_20260729_144520.mp4</t>
  </si>
  <si>
    <t>D:\Lightglue\lg_env\SU01\model1\video_20260729_144520.mp4</t>
  </si>
  <si>
    <t>video_20260729_144738.mp4</t>
  </si>
  <si>
    <t>D:\Lightglue\lg_env\SU01\model1\video_20260729_144738.mp4</t>
  </si>
  <si>
    <t>video_20260729_144833.mp4</t>
  </si>
  <si>
    <t>D:\Lightglue\lg_env\SU01\model1\video_20260729_144833.mp4</t>
  </si>
  <si>
    <t>video_20260729_145006.mp4</t>
  </si>
  <si>
    <t>D:\Lightglue\lg_env\SU01\model1\video_20260729_145006.mp4</t>
  </si>
  <si>
    <t>video_20260729_145150.mp4</t>
  </si>
  <si>
    <t>D:\Lightglue\lg_env\SU01\model1\video_20260729_145150.mp4</t>
  </si>
  <si>
    <t>video_20260729_145714.mp4</t>
  </si>
  <si>
    <t>D:\Lightglue\lg_env\SU01\model1\video_20260729_145714.mp4</t>
  </si>
  <si>
    <t>video_20260729_145841.mp4</t>
  </si>
  <si>
    <t>D:\Lightglue\lg_env\SU01\model1\video_20260729_145841.mp4</t>
  </si>
  <si>
    <t>video_20260729_150023.mp4</t>
  </si>
  <si>
    <t>D:\Lightglue\lg_env\SU01\model1\video_20260729_150023.mp4</t>
  </si>
  <si>
    <t>Metric</t>
  </si>
  <si>
    <t>Value</t>
  </si>
  <si>
    <t>Total Videos</t>
  </si>
  <si>
    <t>RT Results Produced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</si>
  <si>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</si>
  <si>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</si>
  <si>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</si>
  <si>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</si>
  <si>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</si>
  <si>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</si>
  <si>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2026-07-29T16:10:54</t>
  </si>
  <si>
    <t>Source Folder</t>
  </si>
  <si>
    <t>D:\Lightglue\lg_env\SU01\model1</t>
  </si>
  <si>
    <t>Calibration File</t>
  </si>
  <si>
    <t>D:\Lightglue\lg_env\calibration_result_su01.json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</si>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</sst>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0" fontId="0" fillId="0" borderId="3" xfId="1" applyNumberFormat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2" fontId="0" fillId="0" borderId="3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1" fillId="2" borderId="4" xfId="1" applyFont="1" applyFill="1" applyBorder="1"/>
    <xf numFmtId="0" fontId="0" fillId="0" borderId="4" xfId="1" applyFont="1" applyBorder="1"/>
    <xf numFmtId="0" fontId="2" fillId="0" borderId="4" xfId="1" applyFont="1" applyBorder="1"/>
    <xf numFmtId="176" fontId="0" fillId="0" borderId="4" xfId="1" applyNumberFormat="1" applyFont="1" applyBorder="1"/>
    <xf numFmtId="10" fontId="0" fillId="0" borderId="4" xfId="1" applyNumberFormat="1" applyFont="1" applyBorder="1"/>
    <xf numFmtId="0" fontId="0" fillId="0" borderId="4" xfId="1" applyFont="1" applyBorder="1" applyAlignment="1">
      <alignment wrapText="1"/>
    </xf>
    <xf numFmtId="0" fontId="0" fillId="0" borderId="4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K13" totalsRowShown="0">
  <autoFilter ref="A1:K13" xr:uid="{00000000-000C-0000-FFFF-FFFF00000000}"/>
  <sortState xmlns:xlrd2="http://schemas.microsoft.com/office/spreadsheetml/2017/richdata2" ref="A2:K13">
    <sortCondition ref="H1:H13"/>
  </sortState>
  <tableColumns count="11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opLeftCell="C1" workbookViewId="0">
      <selection activeCell="G17" sqref="G17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8" customWidth="1"/>
    <col min="10" max="10" width="20" customWidth="1"/>
    <col min="11" max="11" width="19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2">
        <v>12</v>
      </c>
      <c r="B2" s="2" t="s">
        <v>33</v>
      </c>
      <c r="C2" s="12" t="s">
        <v>34</v>
      </c>
      <c r="D2" s="3">
        <v>0.70252955882055113</v>
      </c>
      <c r="E2" s="3">
        <v>20.007404149894889</v>
      </c>
      <c r="F2" s="3">
        <v>20.322802442672728</v>
      </c>
      <c r="G2" s="3">
        <v>-0.31539829277783937</v>
      </c>
      <c r="H2" s="4">
        <f>IFERROR(ABS(G2)/F2,"")</f>
        <v>1.5519429156855995E-2</v>
      </c>
      <c r="I2" s="5">
        <v>0.39525467798307334</v>
      </c>
      <c r="J2" s="5">
        <v>0.43734597027294753</v>
      </c>
      <c r="K2" s="6">
        <v>1.5736196999205276</v>
      </c>
    </row>
    <row r="3" spans="1:11" ht="28.5">
      <c r="A3" s="2">
        <v>6</v>
      </c>
      <c r="B3" s="2" t="s">
        <v>21</v>
      </c>
      <c r="C3" s="12" t="s">
        <v>22</v>
      </c>
      <c r="D3" s="3">
        <v>0.67935728461284195</v>
      </c>
      <c r="E3" s="3">
        <v>20.662713428505807</v>
      </c>
      <c r="F3" s="3">
        <v>20.322802442672728</v>
      </c>
      <c r="G3" s="3">
        <v>0.33991098583307888</v>
      </c>
      <c r="H3" s="4">
        <f>IFERROR(ABS(G3)/F3,"")</f>
        <v>1.6725596127399836E-2</v>
      </c>
      <c r="I3" s="5">
        <v>0.12583271083491065</v>
      </c>
      <c r="J3" s="5">
        <v>0.3073872250541696</v>
      </c>
      <c r="K3" s="6">
        <v>1.887749099987559</v>
      </c>
    </row>
    <row r="4" spans="1:11" ht="28.5">
      <c r="A4" s="2">
        <v>2</v>
      </c>
      <c r="B4" s="2" t="s">
        <v>13</v>
      </c>
      <c r="C4" s="12" t="s">
        <v>14</v>
      </c>
      <c r="D4" s="3">
        <v>5.3930977614703494E-2</v>
      </c>
      <c r="E4" s="3">
        <v>19.907035220564705</v>
      </c>
      <c r="F4" s="3">
        <v>20.322802442672728</v>
      </c>
      <c r="G4" s="3">
        <v>-0.4157672221080233</v>
      </c>
      <c r="H4" s="4">
        <f>IFERROR(ABS(G4)/F4,"")</f>
        <v>2.04581638423556E-2</v>
      </c>
      <c r="I4" s="5">
        <v>0.20142448183363779</v>
      </c>
      <c r="J4" s="5">
        <v>0.48019398036376937</v>
      </c>
      <c r="K4" s="6">
        <v>1.5869485998991877</v>
      </c>
    </row>
    <row r="5" spans="1:11" ht="28.5">
      <c r="A5" s="2">
        <v>5</v>
      </c>
      <c r="B5" s="2" t="s">
        <v>19</v>
      </c>
      <c r="C5" s="12" t="s">
        <v>20</v>
      </c>
      <c r="D5" s="3">
        <v>0.34240312194993111</v>
      </c>
      <c r="E5" s="3">
        <v>19.894435834679051</v>
      </c>
      <c r="F5" s="3">
        <v>20.322802442672728</v>
      </c>
      <c r="G5" s="3">
        <v>-0.42836660799367721</v>
      </c>
      <c r="H5" s="4">
        <f>IFERROR(ABS(G5)/F5,"")</f>
        <v>2.1078126857849881E-2</v>
      </c>
      <c r="I5" s="5">
        <v>0.23990267010567157</v>
      </c>
      <c r="J5" s="5">
        <v>0.34811467957626646</v>
      </c>
      <c r="K5" s="6">
        <v>1.3594768999610096</v>
      </c>
    </row>
    <row r="6" spans="1:11" ht="28.5">
      <c r="A6" s="2">
        <v>3</v>
      </c>
      <c r="B6" s="2" t="s">
        <v>15</v>
      </c>
      <c r="C6" s="12" t="s">
        <v>16</v>
      </c>
      <c r="D6" s="3">
        <v>0.32578801060712853</v>
      </c>
      <c r="E6" s="3">
        <v>19.85758898387785</v>
      </c>
      <c r="F6" s="3">
        <v>20.322802442672728</v>
      </c>
      <c r="G6" s="3">
        <v>-0.46521345879487797</v>
      </c>
      <c r="H6" s="4">
        <f>IFERROR(ABS(G6)/F6,"")</f>
        <v>2.2891206077860982E-2</v>
      </c>
      <c r="I6" s="5">
        <v>0.22214690863778341</v>
      </c>
      <c r="J6" s="5">
        <v>0.61285506137180545</v>
      </c>
      <c r="K6" s="6">
        <v>1.6053276000311598</v>
      </c>
    </row>
    <row r="7" spans="1:11" ht="28.5">
      <c r="A7" s="2">
        <v>8</v>
      </c>
      <c r="B7" s="2" t="s">
        <v>25</v>
      </c>
      <c r="C7" s="12" t="s">
        <v>26</v>
      </c>
      <c r="D7" s="3">
        <v>0.41407318392358972</v>
      </c>
      <c r="E7" s="3">
        <v>19.801004229621828</v>
      </c>
      <c r="F7" s="3">
        <v>20.322802442672728</v>
      </c>
      <c r="G7" s="3">
        <v>-0.52179821305090002</v>
      </c>
      <c r="H7" s="4">
        <f>IFERROR(ABS(G7)/F7,"")</f>
        <v>2.5675504868130597E-2</v>
      </c>
      <c r="I7" s="5">
        <v>0.19955050832959095</v>
      </c>
      <c r="J7" s="5">
        <v>0.52236917051248088</v>
      </c>
      <c r="K7" s="6">
        <v>2.1854755999520421</v>
      </c>
    </row>
    <row r="8" spans="1:11" ht="28.5">
      <c r="A8" s="2">
        <v>1</v>
      </c>
      <c r="B8" s="2" t="s">
        <v>11</v>
      </c>
      <c r="C8" s="12" t="s">
        <v>12</v>
      </c>
      <c r="D8" s="3">
        <v>0.33012504584409902</v>
      </c>
      <c r="E8" s="3">
        <v>19.721077632177746</v>
      </c>
      <c r="F8" s="3">
        <v>20.322802442672728</v>
      </c>
      <c r="G8" s="3">
        <v>-0.60172481049498217</v>
      </c>
      <c r="H8" s="4">
        <f>IFERROR(ABS(G8)/F8,"")</f>
        <v>2.9608358010286651E-2</v>
      </c>
      <c r="I8" s="5">
        <v>0.23804792739034741</v>
      </c>
      <c r="J8" s="5">
        <v>0.42010984327726181</v>
      </c>
      <c r="K8" s="6">
        <v>2.7951892999699339</v>
      </c>
    </row>
    <row r="9" spans="1:11" ht="28.5">
      <c r="A9" s="2">
        <v>11</v>
      </c>
      <c r="B9" s="2" t="s">
        <v>31</v>
      </c>
      <c r="C9" s="12" t="s">
        <v>32</v>
      </c>
      <c r="D9" s="3">
        <v>0.52895884176615737</v>
      </c>
      <c r="E9" s="3">
        <v>21.152825172454428</v>
      </c>
      <c r="F9" s="3">
        <v>20.322802442672728</v>
      </c>
      <c r="G9" s="3">
        <v>0.83002272978169955</v>
      </c>
      <c r="H9" s="4">
        <f>IFERROR(ABS(G9)/F9,"")</f>
        <v>4.0841942548182353E-2</v>
      </c>
      <c r="I9" s="5">
        <v>0.41282643244271222</v>
      </c>
      <c r="J9" s="5">
        <v>0.27876322623433181</v>
      </c>
      <c r="K9" s="6">
        <v>1.5065142000094056</v>
      </c>
    </row>
    <row r="10" spans="1:11" ht="28.5">
      <c r="A10" s="2">
        <v>4</v>
      </c>
      <c r="B10" s="2" t="s">
        <v>17</v>
      </c>
      <c r="C10" s="12" t="s">
        <v>18</v>
      </c>
      <c r="D10" s="3">
        <v>0.62682595954883746</v>
      </c>
      <c r="E10" s="3">
        <v>21.230508233027937</v>
      </c>
      <c r="F10" s="3">
        <v>20.322802442672728</v>
      </c>
      <c r="G10" s="3">
        <v>0.90770579035520882</v>
      </c>
      <c r="H10" s="4">
        <f>IFERROR(ABS(G10)/F10,"")</f>
        <v>4.4664400636462272E-2</v>
      </c>
      <c r="I10" s="5">
        <v>0.21855339961228201</v>
      </c>
      <c r="J10" s="5">
        <v>0.41264226138892268</v>
      </c>
      <c r="K10" s="6">
        <v>1.7849614999722689</v>
      </c>
    </row>
    <row r="11" spans="1:11" ht="28.5">
      <c r="A11" s="2">
        <v>10</v>
      </c>
      <c r="B11" s="2" t="s">
        <v>29</v>
      </c>
      <c r="C11" s="12" t="s">
        <v>30</v>
      </c>
      <c r="D11" s="3">
        <v>0.42052760232566422</v>
      </c>
      <c r="E11" s="3">
        <v>21.784248750385743</v>
      </c>
      <c r="F11" s="3">
        <v>20.322802442672728</v>
      </c>
      <c r="G11" s="3">
        <v>1.4614463077130146</v>
      </c>
      <c r="H11" s="4">
        <f>IFERROR(ABS(G11)/F11,"")</f>
        <v>7.1911652530969261E-2</v>
      </c>
      <c r="I11" s="5">
        <v>0.40984235453370532</v>
      </c>
      <c r="J11" s="5">
        <v>0.26054101850510986</v>
      </c>
      <c r="K11" s="6">
        <v>1.6684479999821633</v>
      </c>
    </row>
    <row r="12" spans="1:11" ht="28.5">
      <c r="A12" s="2">
        <v>7</v>
      </c>
      <c r="B12" s="2" t="s">
        <v>23</v>
      </c>
      <c r="C12" s="12" t="s">
        <v>24</v>
      </c>
      <c r="D12" s="3">
        <v>0.94093399821530843</v>
      </c>
      <c r="E12" s="3">
        <v>22.277470386228398</v>
      </c>
      <c r="F12" s="3">
        <v>20.322802442672728</v>
      </c>
      <c r="G12" s="3">
        <v>1.9546679435556698</v>
      </c>
      <c r="H12" s="4">
        <f>IFERROR(ABS(G12)/F12,"")</f>
        <v>9.6181023708195035E-2</v>
      </c>
      <c r="I12" s="5">
        <v>0.1761622465990024</v>
      </c>
      <c r="J12" s="5">
        <v>0.35584632368324515</v>
      </c>
      <c r="K12" s="6">
        <v>2.0360184999881312</v>
      </c>
    </row>
    <row r="13" spans="1:11" ht="28.5">
      <c r="A13" s="7">
        <v>9</v>
      </c>
      <c r="B13" s="7" t="s">
        <v>27</v>
      </c>
      <c r="C13" s="13" t="s">
        <v>28</v>
      </c>
      <c r="D13" s="8">
        <v>1.2580410334872034</v>
      </c>
      <c r="E13" s="8">
        <v>22.687502963104365</v>
      </c>
      <c r="F13" s="8">
        <v>20.322802442672728</v>
      </c>
      <c r="G13" s="8">
        <v>2.3647005204316365</v>
      </c>
      <c r="H13" s="9">
        <f>IFERROR(ABS(G13)/F13,"")</f>
        <v>0.11635700967433336</v>
      </c>
      <c r="I13" s="10">
        <v>3.7132098761401493E-2</v>
      </c>
      <c r="J13" s="10">
        <v>0.61048656657905576</v>
      </c>
      <c r="K13" s="11">
        <v>1.7918324000202119</v>
      </c>
    </row>
  </sheetData>
  <phoneticPr fontId="4" type="noConversion"/>
  <conditionalFormatting sqref="H2:H13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tabSelected="1" workbookViewId="0">
      <selection activeCell="A4" sqref="A4:XFD6"/>
    </sheetView>
  </sheetViews>
  <sheetFormatPr defaultRowHeight="14.25"/>
  <cols>
    <col min="1" max="1" width="38" customWidth="1"/>
    <col min="2" max="2" width="22" customWidth="1"/>
  </cols>
  <sheetData>
    <row r="1" spans="1:2" ht="15">
      <c r="A1" s="14" t="s">
        <v>35</v>
      </c>
      <c r="B1" s="14" t="s">
        <v>36</v>
      </c>
    </row>
    <row r="2" spans="1:2" ht="15">
      <c r="A2" s="16" t="s">
        <v>37</v>
      </c>
      <c r="B2" s="15">
        <f>COUNTA('RT Results'!B2:B13)</f>
        <v>12</v>
      </c>
    </row>
    <row r="3" spans="1:2" ht="15">
      <c r="A3" s="16" t="s">
        <v>38</v>
      </c>
      <c r="B3" s="15">
        <f>COUNT('RT Results'!E2:E13)</f>
        <v>12</v>
      </c>
    </row>
    <row r="4" spans="1:2" ht="15">
      <c r="A4" s="16" t="s">
        <v>39</v>
      </c>
      <c r="B4" s="17">
        <f>IFERROR(AVERAGE('RT Results'!D2:D13),"")</f>
        <v>0.55195788489300124</v>
      </c>
    </row>
    <row r="5" spans="1:2" ht="15">
      <c r="A5" s="16" t="s">
        <v>40</v>
      </c>
      <c r="B5" s="17" t="str">
        <f>IFERROR(AVERAGE('RT Results'!#REF!),"")</f>
        <v/>
      </c>
    </row>
    <row r="6" spans="1:2" ht="15">
      <c r="A6" s="16" t="s">
        <v>41</v>
      </c>
      <c r="B6" s="18">
        <f>IFERROR(AVERAGE('RT Results'!H2:H13),"")</f>
        <v>4.3492701169906813E-2</v>
      </c>
    </row>
    <row r="7" spans="1:2" ht="15">
      <c r="A7" s="16" t="s">
        <v>42</v>
      </c>
      <c r="B7" s="18">
        <f>IFERROR(MAX('RT Results'!H2:H13),"")</f>
        <v>0.11635700967433336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14" t="s">
        <v>43</v>
      </c>
      <c r="B1" s="14" t="s">
        <v>36</v>
      </c>
    </row>
    <row r="2" spans="1:2" ht="15">
      <c r="A2" s="16" t="s">
        <v>44</v>
      </c>
      <c r="B2" s="19" t="s">
        <v>45</v>
      </c>
    </row>
    <row r="3" spans="1:2" ht="15">
      <c r="A3" s="16" t="s">
        <v>46</v>
      </c>
      <c r="B3" s="19" t="s">
        <v>47</v>
      </c>
    </row>
    <row r="4" spans="1:2" ht="15">
      <c r="A4" s="16" t="s">
        <v>48</v>
      </c>
      <c r="B4" s="19" t="s">
        <v>49</v>
      </c>
    </row>
    <row r="5" spans="1:2" ht="15">
      <c r="A5" s="16" t="s">
        <v>50</v>
      </c>
      <c r="B5" s="19">
        <v>50</v>
      </c>
    </row>
    <row r="6" spans="1:2" ht="15">
      <c r="A6" s="16" t="s">
        <v>51</v>
      </c>
      <c r="B6" s="20" t="b">
        <v>0</v>
      </c>
    </row>
    <row r="7" spans="1:2" ht="15">
      <c r="A7" s="16" t="s">
        <v>52</v>
      </c>
      <c r="B7" s="19" t="s">
        <v>53</v>
      </c>
    </row>
    <row r="8" spans="1:2" ht="15">
      <c r="A8" s="16" t="s">
        <v>54</v>
      </c>
      <c r="B8" s="19" t="s">
        <v>55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modified xsi:type="dcterms:W3CDTF">2026-07-29T08:23:24Z</dcterms:modified>
</cp:coreProperties>
</file>