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db06244f4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 Results" sheetId="1" r:id="Ra819ca74fb6b4cc1"/>
    <x:sheet xmlns:r="http://schemas.openxmlformats.org/officeDocument/2006/relationships" name="Summary" sheetId="2" r:id="R2e10ff7362f14c9a"/>
    <x:sheet xmlns:r="http://schemas.openxmlformats.org/officeDocument/2006/relationships" name="Protocol" sheetId="3" r:id="Rf1e25eee9ded41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%"/>
    <x:numFmt numFmtId="202" formatCode="0.000"/>
    <x:numFmt numFmtId="203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3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/>
    <x:xf numFmtId="0" fontId="0" fillId="0" borderId="4" xfId="0" applyNumberFormat="1" applyFont="1" applyFill="1" applyBorder="1"/>
    <x:xf numFmtId="0" fontId="2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2" fillId="0" borderId="0" xfId="0" applyNumberFormat="1" applyFont="1" applyFill="1" applyBorder="1"/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0a69fcbcf44862" /><Relationship Type="http://schemas.openxmlformats.org/officeDocument/2006/relationships/theme" Target="/xl/theme/theme1.xml" Id="R481b52da73c844bf" /><Relationship Type="http://schemas.microsoft.com/office/2022/11/relationships/FeaturePropertyBag" Target="/xl/featurePropertyBag/featurePropertyBag.xml" Id="R553747099cc34a93" /><Relationship Type="http://schemas.openxmlformats.org/officeDocument/2006/relationships/sharedStrings" Target="/xl/sharedStrings.xml" Id="Rcadd23ed7d9d4b12" /><Relationship Type="http://schemas.openxmlformats.org/officeDocument/2006/relationships/worksheet" Target="/xl/worksheets/sheet1.xml" Id="Ra819ca74fb6b4cc1" /><Relationship Type="http://schemas.openxmlformats.org/officeDocument/2006/relationships/worksheet" Target="/xl/worksheets/sheet2.xml" Id="R2e10ff7362f14c9a" /><Relationship Type="http://schemas.openxmlformats.org/officeDocument/2006/relationships/worksheet" Target="/xl/worksheets/sheet3.xml" Id="Rf1e25eee9ded41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BVCAMRTResults" displayName="HBVCAMRTResults" ref="A1:T26" headerRowCount="1" totalsRowCount="0" totalsRowShown="0">
  <x:tableColumns count="20">
    <x:tableColumn id="1" name="Run #"/>
    <x:tableColumn id="2" name="Video File"/>
    <x:tableColumn id="3" name="Video Path"/>
    <x:tableColumn id="4" name="Status"/>
    <x:tableColumn id="5" name="Failure Reason"/>
    <x:tableColumn id="6" name="Frame Index"/>
    <x:tableColumn id="7" name="Total Frames"/>
    <x:tableColumn id="8" name="Rotation Error (deg)"/>
    <x:tableColumn id="9" name="Translation L2 Error (mm)"/>
    <x:tableColumn id="10" name="Translation Direction Error (deg)"/>
    <x:tableColumn id="11" name="Algorithm Baseline (mm)"/>
    <x:tableColumn id="12" name="JSON Baseline (mm)"/>
    <x:tableColumn id="13" name="Baseline Delta (mm)"/>
    <x:tableColumn id="14" name="Baseline Error (%)"/>
    <x:tableColumn id="15" name="RT Internal Error (px)"/>
    <x:tableColumn id="16" name="Marker Bidirectional RMS (px)"/>
    <x:tableColumn id="17" name="Feature Median (px)"/>
    <x:tableColumn id="18" name="RT Reliable"/>
    <x:tableColumn id="19" name="Processing Time (s)"/>
    <x:tableColumn id="20" name="Absolute Baseline Delta (mm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1478e4ef0b4e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2" hidden="0" customWidth="1"/>
    <x:col min="4" max="4" width="18" hidden="0" customWidth="1"/>
    <x:col min="5" max="5" width="44" hidden="0" customWidth="1"/>
    <x:col min="6" max="6" width="12" hidden="0" customWidth="1"/>
    <x:col min="7" max="7" width="13" hidden="0" customWidth="1"/>
    <x:col min="8" max="8" width="20" hidden="0" customWidth="1"/>
    <x:col min="9" max="9" width="22" hidden="0" customWidth="1"/>
    <x:col min="10" max="10" width="27" hidden="0" customWidth="1"/>
    <x:col min="11" max="11" width="22" hidden="0" customWidth="1"/>
    <x:col min="12" max="12" width="19" hidden="0" customWidth="1"/>
    <x:col min="13" max="13" width="20" hidden="0" customWidth="1"/>
    <x:col min="14" max="14" width="19" hidden="0" customWidth="1"/>
    <x:col min="15" max="15" width="21" hidden="0" customWidth="1"/>
    <x:col min="16" max="16" width="28" hidden="0" customWidth="1"/>
    <x:col min="17" max="17" width="20" hidden="0" customWidth="1"/>
    <x:col min="18" max="18" width="13" hidden="0" customWidth="1"/>
    <x:col min="19" max="19" width="19" hidden="0" customWidth="1"/>
    <x:col min="20" max="20" width="25" hidden="0" customWidth="1"/>
  </x:cols>
  <x:sheetData>
    <x:row r="1" ht="36" customHeight="1">
      <x:c r="A1" s="12" t="str">
        <x:v>Run #</x:v>
      </x:c>
      <x:c r="B1" s="12" t="str">
        <x:v>Video File</x:v>
      </x:c>
      <x:c r="C1" s="12" t="str">
        <x:v>Video Path</x:v>
      </x:c>
      <x:c r="D1" s="12" t="str">
        <x:v>Status</x:v>
      </x:c>
      <x:c r="E1" s="12" t="str">
        <x:v>Failure Reason</x:v>
      </x:c>
      <x:c r="F1" s="12" t="str">
        <x:v>Frame Index</x:v>
      </x:c>
      <x:c r="G1" s="12" t="str">
        <x:v>Total Frames</x:v>
      </x:c>
      <x:c r="H1" s="12" t="str">
        <x:v>Rotation Error (deg)</x:v>
      </x:c>
      <x:c r="I1" s="12" t="str">
        <x:v>Translation L2 Error (mm)</x:v>
      </x:c>
      <x:c r="J1" s="12" t="str">
        <x:v>Translation Direction Error (deg)</x:v>
      </x:c>
      <x:c r="K1" s="12" t="str">
        <x:v>Algorithm Baseline (mm)</x:v>
      </x:c>
      <x:c r="L1" s="12" t="str">
        <x:v>JSON Baseline (mm)</x:v>
      </x:c>
      <x:c r="M1" s="12" t="str">
        <x:v>Baseline Delta (mm)</x:v>
      </x:c>
      <x:c r="N1" s="12" t="str">
        <x:v>Baseline Error (%)</x:v>
      </x:c>
      <x:c r="O1" s="12" t="str">
        <x:v>RT Internal Error (px)</x:v>
      </x:c>
      <x:c r="P1" s="12" t="str">
        <x:v>Marker Bidirectional RMS (px)</x:v>
      </x:c>
      <x:c r="Q1" s="12" t="str">
        <x:v>Feature Median (px)</x:v>
      </x:c>
      <x:c r="R1" s="12" t="str">
        <x:v>RT Reliable</x:v>
      </x:c>
      <x:c r="S1" s="12" t="str">
        <x:v>Processing Time (s)</x:v>
      </x:c>
      <x:c r="T1" s="12" t="str">
        <x:v>Absolute Baseline Delta (mm)</x:v>
      </x:c>
    </x:row>
    <x:row r="2">
      <x:c r="A2" s="13" t="n">
        <x:v>1</x:v>
      </x:c>
      <x:c r="B2" s="13" t="str">
        <x:v>video_20260729_144102.mp4</x:v>
      </x:c>
      <x:c r="C2" s="25" t="str">
        <x:v>D:\Lightglue\lg_env\SU01\video_20260729_144102.mp4</x:v>
      </x:c>
      <x:c r="D2" s="13" t="str">
        <x:v>OK</x:v>
      </x:c>
      <x:c r="E2" s="25" t="str"/>
      <x:c r="F2" s="13" t="n">
        <x:v>50</x:v>
      </x:c>
      <x:c r="G2" s="13" t="n">
        <x:v>120</x:v>
      </x:c>
      <x:c r="H2" s="14" t="n">
        <x:v>0.330125045844099</x:v>
      </x:c>
      <x:c r="I2" s="14" t="n">
        <x:v>1.23292321144643</x:v>
      </x:c>
      <x:c r="J2" s="14" t="n">
        <x:v>3.080187369886419</x:v>
      </x:c>
      <x:c r="K2" s="14" t="n">
        <x:v>19.721077632177746</x:v>
      </x:c>
      <x:c r="L2" s="14" t="n">
        <x:v>20.322802442672728</x:v>
      </x:c>
      <x:c r="M2" s="14" t="n">
        <x:v>-0.6017248104949822</x:v>
      </x:c>
      <x:c r="N2" s="15" t="n">
        <x:f>IFERROR(ABS(M2)/L2,"")</x:f>
        <x:v>0.02960835801028665</x:v>
      </x:c>
      <x:c r="O2" s="16" t="n">
        <x:v>0.4201098432772618</x:v>
      </x:c>
      <x:c r="P2" s="16" t="n">
        <x:v>0.2380479273903474</x:v>
      </x:c>
      <x:c r="Q2" s="16" t="n">
        <x:v>0.4201098432772618</x:v>
      </x:c>
      <x:c r="R2" s="17" t="b">
        <x:v>1</x:v>
      </x:c>
      <x:c r="S2" s="18" t="n">
        <x:v>1.2176437999587506</x:v>
      </x:c>
      <x:c r="T2" s="14" t="n">
        <x:f>IF(M2="","",ABS(M2))</x:f>
        <x:v>0.6017248104949822</x:v>
      </x:c>
    </x:row>
    <x:row r="3">
      <x:c r="A3" s="13" t="n">
        <x:v>2</x:v>
      </x:c>
      <x:c r="B3" s="13" t="str">
        <x:v>video_20260729_144213.mp4</x:v>
      </x:c>
      <x:c r="C3" s="25" t="str">
        <x:v>D:\Lightglue\lg_env\SU01\video_20260729_144213.mp4</x:v>
      </x:c>
      <x:c r="D3" s="13" t="str">
        <x:v>OK</x:v>
      </x:c>
      <x:c r="E3" s="25" t="str"/>
      <x:c r="F3" s="13" t="n">
        <x:v>50</x:v>
      </x:c>
      <x:c r="G3" s="13" t="n">
        <x:v>134</x:v>
      </x:c>
      <x:c r="H3" s="14" t="n">
        <x:v>0.053930977614703494</x:v>
      </x:c>
      <x:c r="I3" s="14" t="n">
        <x:v>0.9309077062414873</x:v>
      </x:c>
      <x:c r="J3" s="14" t="n">
        <x:v>2.3727544943307066</x:v>
      </x:c>
      <x:c r="K3" s="14" t="n">
        <x:v>19.907035220564705</x:v>
      </x:c>
      <x:c r="L3" s="14" t="n">
        <x:v>20.322802442672728</x:v>
      </x:c>
      <x:c r="M3" s="14" t="n">
        <x:v>-0.4157672221080233</x:v>
      </x:c>
      <x:c r="N3" s="15" t="n">
        <x:f>IFERROR(ABS(M3)/L3,"")</x:f>
        <x:v>0.0204581638423556</x:v>
      </x:c>
      <x:c r="O3" s="16" t="n">
        <x:v>0.48019398036376937</x:v>
      </x:c>
      <x:c r="P3" s="16" t="n">
        <x:v>0.2014244818336378</x:v>
      </x:c>
      <x:c r="Q3" s="16" t="n">
        <x:v>0.48019398036376937</x:v>
      </x:c>
      <x:c r="R3" s="17" t="b">
        <x:v>1</x:v>
      </x:c>
      <x:c r="S3" s="18" t="n">
        <x:v>1.4464518000604585</x:v>
      </x:c>
      <x:c r="T3" s="14" t="n">
        <x:f>IF(M3="","",ABS(M3))</x:f>
        <x:v>0.4157672221080233</x:v>
      </x:c>
    </x:row>
    <x:row r="4">
      <x:c r="A4" s="13" t="n">
        <x:v>3</x:v>
      </x:c>
      <x:c r="B4" s="13" t="str">
        <x:v>video_20260729_144319.mp4</x:v>
      </x:c>
      <x:c r="C4" s="25" t="str">
        <x:v>D:\Lightglue\lg_env\SU01\video_20260729_144319.mp4</x:v>
      </x:c>
      <x:c r="D4" s="13" t="str">
        <x:v>OK</x:v>
      </x:c>
      <x:c r="E4" s="25" t="str"/>
      <x:c r="F4" s="13" t="n">
        <x:v>50</x:v>
      </x:c>
      <x:c r="G4" s="13" t="n">
        <x:v>75</x:v>
      </x:c>
      <x:c r="H4" s="14" t="n">
        <x:v>0.32578801060712853</x:v>
      </x:c>
      <x:c r="I4" s="14" t="n">
        <x:v>1.1468568141332884</x:v>
      </x:c>
      <x:c r="J4" s="14" t="n">
        <x:v>2.9901119478016867</x:v>
      </x:c>
      <x:c r="K4" s="14" t="n">
        <x:v>19.85758898387785</x:v>
      </x:c>
      <x:c r="L4" s="14" t="n">
        <x:v>20.322802442672728</x:v>
      </x:c>
      <x:c r="M4" s="14" t="n">
        <x:v>-0.46521345879487797</x:v>
      </x:c>
      <x:c r="N4" s="15" t="n">
        <x:f>IFERROR(ABS(M4)/L4,"")</x:f>
        <x:v>0.022891206077860982</x:v>
      </x:c>
      <x:c r="O4" s="16" t="n">
        <x:v>0.6128550613718055</x:v>
      </x:c>
      <x:c r="P4" s="16" t="n">
        <x:v>0.2221469086377834</x:v>
      </x:c>
      <x:c r="Q4" s="16" t="n">
        <x:v>0.6128550613718055</x:v>
      </x:c>
      <x:c r="R4" s="17" t="b">
        <x:v>1</x:v>
      </x:c>
      <x:c r="S4" s="18" t="n">
        <x:v>0.9709577999310568</x:v>
      </x:c>
      <x:c r="T4" s="14" t="n">
        <x:f>IF(M4="","",ABS(M4))</x:f>
        <x:v>0.46521345879487797</x:v>
      </x:c>
    </x:row>
    <x:row r="5">
      <x:c r="A5" s="13" t="n">
        <x:v>4</x:v>
      </x:c>
      <x:c r="B5" s="13" t="str">
        <x:v>video_20260729_144421.mp4</x:v>
      </x:c>
      <x:c r="C5" s="25" t="str">
        <x:v>D:\Lightglue\lg_env\SU01\video_20260729_144421.mp4</x:v>
      </x:c>
      <x:c r="D5" s="13" t="str">
        <x:v>OK</x:v>
      </x:c>
      <x:c r="E5" s="25" t="str"/>
      <x:c r="F5" s="13" t="n">
        <x:v>50</x:v>
      </x:c>
      <x:c r="G5" s="13" t="n">
        <x:v>83</x:v>
      </x:c>
      <x:c r="H5" s="14" t="n">
        <x:v>0.6268259595488375</x:v>
      </x:c>
      <x:c r="I5" s="14" t="n">
        <x:v>1.2291873943939287</x:v>
      </x:c>
      <x:c r="J5" s="14" t="n">
        <x:v>2.2863827003983337</x:v>
      </x:c>
      <x:c r="K5" s="14" t="n">
        <x:v>21.230508233027937</x:v>
      </x:c>
      <x:c r="L5" s="14" t="n">
        <x:v>20.322802442672728</x:v>
      </x:c>
      <x:c r="M5" s="14" t="n">
        <x:v>0.9077057903552088</x:v>
      </x:c>
      <x:c r="N5" s="15" t="n">
        <x:f>IFERROR(ABS(M5)/L5,"")</x:f>
        <x:v>0.04466440063646227</x:v>
      </x:c>
      <x:c r="O5" s="16" t="n">
        <x:v>0.4126422613889227</x:v>
      </x:c>
      <x:c r="P5" s="16" t="n">
        <x:v>0.218553399612282</x:v>
      </x:c>
      <x:c r="Q5" s="16" t="n">
        <x:v>0.4126422613889227</x:v>
      </x:c>
      <x:c r="R5" s="17" t="b">
        <x:v>1</x:v>
      </x:c>
      <x:c r="S5" s="18" t="n">
        <x:v>0.5363777000457048</x:v>
      </x:c>
      <x:c r="T5" s="14" t="n">
        <x:f>IF(M5="","",ABS(M5))</x:f>
        <x:v>0.9077057903552088</x:v>
      </x:c>
    </x:row>
    <x:row r="6">
      <x:c r="A6" s="13" t="n">
        <x:v>5</x:v>
      </x:c>
      <x:c r="B6" s="13" t="str">
        <x:v>video_20260729_144520.mp4</x:v>
      </x:c>
      <x:c r="C6" s="25" t="str">
        <x:v>D:\Lightglue\lg_env\SU01\video_20260729_144520.mp4</x:v>
      </x:c>
      <x:c r="D6" s="13" t="str">
        <x:v>OK</x:v>
      </x:c>
      <x:c r="E6" s="25" t="str"/>
      <x:c r="F6" s="13" t="n">
        <x:v>50</x:v>
      </x:c>
      <x:c r="G6" s="13" t="n">
        <x:v>100</x:v>
      </x:c>
      <x:c r="H6" s="14" t="n">
        <x:v>0.3424031219499311</x:v>
      </x:c>
      <x:c r="I6" s="14" t="n">
        <x:v>1.1123104014839695</x:v>
      </x:c>
      <x:c r="J6" s="14" t="n">
        <x:v>2.9253524717839157</x:v>
      </x:c>
      <x:c r="K6" s="14" t="n">
        <x:v>19.89443583467905</x:v>
      </x:c>
      <x:c r="L6" s="14" t="n">
        <x:v>20.322802442672728</x:v>
      </x:c>
      <x:c r="M6" s="14" t="n">
        <x:v>-0.4283666079936772</x:v>
      </x:c>
      <x:c r="N6" s="15" t="n">
        <x:f>IFERROR(ABS(M6)/L6,"")</x:f>
        <x:v>0.02107812685784988</x:v>
      </x:c>
      <x:c r="O6" s="16" t="n">
        <x:v>0.34811467957626646</x:v>
      </x:c>
      <x:c r="P6" s="16" t="n">
        <x:v>0.23990267010567157</x:v>
      </x:c>
      <x:c r="Q6" s="16" t="n">
        <x:v>0.34811467957626646</x:v>
      </x:c>
      <x:c r="R6" s="17" t="b">
        <x:v>1</x:v>
      </x:c>
      <x:c r="S6" s="18" t="n">
        <x:v>0.9462098999647424</x:v>
      </x:c>
      <x:c r="T6" s="14" t="n">
        <x:f>IF(M6="","",ABS(M6))</x:f>
        <x:v>0.4283666079936772</x:v>
      </x:c>
    </x:row>
    <x:row r="7">
      <x:c r="A7" s="13" t="n">
        <x:v>6</x:v>
      </x:c>
      <x:c r="B7" s="13" t="str">
        <x:v>video_20260729_144738.mp4</x:v>
      </x:c>
      <x:c r="C7" s="25" t="str">
        <x:v>D:\Lightglue\lg_env\SU01\video_20260729_144738.mp4</x:v>
      </x:c>
      <x:c r="D7" s="13" t="str">
        <x:v>OK</x:v>
      </x:c>
      <x:c r="E7" s="25" t="str"/>
      <x:c r="F7" s="13" t="n">
        <x:v>50</x:v>
      </x:c>
      <x:c r="G7" s="13" t="n">
        <x:v>103</x:v>
      </x:c>
      <x:c r="H7" s="14" t="n">
        <x:v>0.679357284612842</x:v>
      </x:c>
      <x:c r="I7" s="14" t="n">
        <x:v>2.2477883434792787</x:v>
      </x:c>
      <x:c r="J7" s="14" t="n">
        <x:v>6.21558872385292</x:v>
      </x:c>
      <x:c r="K7" s="14" t="n">
        <x:v>20.662713428505807</x:v>
      </x:c>
      <x:c r="L7" s="14" t="n">
        <x:v>20.322802442672728</x:v>
      </x:c>
      <x:c r="M7" s="14" t="n">
        <x:v>0.3399109858330789</x:v>
      </x:c>
      <x:c r="N7" s="15" t="n">
        <x:f>IFERROR(ABS(M7)/L7,"")</x:f>
        <x:v>0.016725596127399836</x:v>
      </x:c>
      <x:c r="O7" s="16" t="n">
        <x:v>0.3073872250541696</x:v>
      </x:c>
      <x:c r="P7" s="16" t="n">
        <x:v>0.12583271083491065</x:v>
      </x:c>
      <x:c r="Q7" s="16" t="n">
        <x:v>0.3073872250541696</x:v>
      </x:c>
      <x:c r="R7" s="17" t="b">
        <x:v>1</x:v>
      </x:c>
      <x:c r="S7" s="18" t="n">
        <x:v>0.8558114999905229</x:v>
      </x:c>
      <x:c r="T7" s="14" t="n">
        <x:f>IF(M7="","",ABS(M7))</x:f>
        <x:v>0.3399109858330789</x:v>
      </x:c>
    </x:row>
    <x:row r="8">
      <x:c r="A8" s="13" t="n">
        <x:v>7</x:v>
      </x:c>
      <x:c r="B8" s="13" t="str">
        <x:v>video_20260729_144833.mp4</x:v>
      </x:c>
      <x:c r="C8" s="25" t="str">
        <x:v>D:\Lightglue\lg_env\SU01\video_20260729_144833.mp4</x:v>
      </x:c>
      <x:c r="D8" s="13" t="str">
        <x:v>OK</x:v>
      </x:c>
      <x:c r="E8" s="25" t="str"/>
      <x:c r="F8" s="13" t="n">
        <x:v>50</x:v>
      </x:c>
      <x:c r="G8" s="13" t="n">
        <x:v>270</x:v>
      </x:c>
      <x:c r="H8" s="14" t="n">
        <x:v>0.9409339982153084</x:v>
      </x:c>
      <x:c r="I8" s="14" t="n">
        <x:v>2.3755613248611516</x:v>
      </x:c>
      <x:c r="J8" s="14" t="n">
        <x:v>3.6359027952943808</x:v>
      </x:c>
      <x:c r="K8" s="14" t="n">
        <x:v>22.277470386228398</x:v>
      </x:c>
      <x:c r="L8" s="14" t="n">
        <x:v>20.322802442672728</x:v>
      </x:c>
      <x:c r="M8" s="14" t="n">
        <x:v>1.9546679435556698</x:v>
      </x:c>
      <x:c r="N8" s="15" t="n">
        <x:f>IFERROR(ABS(M8)/L8,"")</x:f>
        <x:v>0.09618102370819503</x:v>
      </x:c>
      <x:c r="O8" s="16" t="n">
        <x:v>0.35584632368324515</x:v>
      </x:c>
      <x:c r="P8" s="16" t="n">
        <x:v>0.1761622465990024</x:v>
      </x:c>
      <x:c r="Q8" s="16" t="n">
        <x:v>0.35584632368324515</x:v>
      </x:c>
      <x:c r="R8" s="17" t="b">
        <x:v>1</x:v>
      </x:c>
      <x:c r="S8" s="18" t="n">
        <x:v>1.1635277000023052</x:v>
      </x:c>
      <x:c r="T8" s="14" t="n">
        <x:f>IF(M8="","",ABS(M8))</x:f>
        <x:v>1.9546679435556698</x:v>
      </x:c>
    </x:row>
    <x:row r="9">
      <x:c r="A9" s="13" t="n">
        <x:v>8</x:v>
      </x:c>
      <x:c r="B9" s="13" t="str">
        <x:v>video_20260729_145006.mp4</x:v>
      </x:c>
      <x:c r="C9" s="25" t="str">
        <x:v>D:\Lightglue\lg_env\SU01\video_20260729_145006.mp4</x:v>
      </x:c>
      <x:c r="D9" s="13" t="str">
        <x:v>OK</x:v>
      </x:c>
      <x:c r="E9" s="25" t="str"/>
      <x:c r="F9" s="13" t="n">
        <x:v>50</x:v>
      </x:c>
      <x:c r="G9" s="13" t="n">
        <x:v>299</x:v>
      </x:c>
      <x:c r="H9" s="14" t="n">
        <x:v>0.4140731839235897</x:v>
      </x:c>
      <x:c r="I9" s="14" t="n">
        <x:v>1.2234844688189106</x:v>
      </x:c>
      <x:c r="J9" s="14" t="n">
        <x:v>3.161161513649671</x:v>
      </x:c>
      <x:c r="K9" s="14" t="n">
        <x:v>19.801004229621828</x:v>
      </x:c>
      <x:c r="L9" s="14" t="n">
        <x:v>20.322802442672728</x:v>
      </x:c>
      <x:c r="M9" s="14" t="n">
        <x:v>-0.5217982130509</x:v>
      </x:c>
      <x:c r="N9" s="15" t="n">
        <x:f>IFERROR(ABS(M9)/L9,"")</x:f>
        <x:v>0.025675504868130597</x:v>
      </x:c>
      <x:c r="O9" s="16" t="n">
        <x:v>0.5223691705124809</x:v>
      </x:c>
      <x:c r="P9" s="16" t="n">
        <x:v>0.19955050832959095</x:v>
      </x:c>
      <x:c r="Q9" s="16" t="n">
        <x:v>0.5223691705124809</x:v>
      </x:c>
      <x:c r="R9" s="17" t="b">
        <x:v>1</x:v>
      </x:c>
      <x:c r="S9" s="18" t="n">
        <x:v>0.6568403999553993</x:v>
      </x:c>
      <x:c r="T9" s="14" t="n">
        <x:f>IF(M9="","",ABS(M9))</x:f>
        <x:v>0.5217982130509</x:v>
      </x:c>
    </x:row>
    <x:row r="10">
      <x:c r="A10" s="13" t="n">
        <x:v>9</x:v>
      </x:c>
      <x:c r="B10" s="13" t="str">
        <x:v>video_20260729_145150.mp4</x:v>
      </x:c>
      <x:c r="C10" s="25" t="str">
        <x:v>D:\Lightglue\lg_env\SU01\video_20260729_145150.mp4</x:v>
      </x:c>
      <x:c r="D10" s="13" t="str">
        <x:v>OK</x:v>
      </x:c>
      <x:c r="E10" s="25" t="str"/>
      <x:c r="F10" s="13" t="n">
        <x:v>50</x:v>
      </x:c>
      <x:c r="G10" s="13" t="n">
        <x:v>256</x:v>
      </x:c>
      <x:c r="H10" s="14" t="n">
        <x:v>1.2580410334872034</x:v>
      </x:c>
      <x:c r="I10" s="14" t="n">
        <x:v>2.778526322905934</x:v>
      </x:c>
      <x:c r="J10" s="14" t="n">
        <x:v>3.893567209752327</x:v>
      </x:c>
      <x:c r="K10" s="14" t="n">
        <x:v>22.687502963104365</x:v>
      </x:c>
      <x:c r="L10" s="14" t="n">
        <x:v>20.322802442672728</x:v>
      </x:c>
      <x:c r="M10" s="14" t="n">
        <x:v>2.3647005204316365</x:v>
      </x:c>
      <x:c r="N10" s="15" t="n">
        <x:f>IFERROR(ABS(M10)/L10,"")</x:f>
        <x:v>0.11635700967433336</x:v>
      </x:c>
      <x:c r="O10" s="16" t="n">
        <x:v>0.6104865665790558</x:v>
      </x:c>
      <x:c r="P10" s="16" t="n">
        <x:v>0.03713209876140149</x:v>
      </x:c>
      <x:c r="Q10" s="16" t="n">
        <x:v>0.6104865665790558</x:v>
      </x:c>
      <x:c r="R10" s="17" t="b">
        <x:v>1</x:v>
      </x:c>
      <x:c r="S10" s="18" t="n">
        <x:v>0.8203946000430733</x:v>
      </x:c>
      <x:c r="T10" s="14" t="n">
        <x:f>IF(M10="","",ABS(M10))</x:f>
        <x:v>2.3647005204316365</x:v>
      </x:c>
    </x:row>
    <x:row r="11">
      <x:c r="A11" s="13" t="n">
        <x:v>10</x:v>
      </x:c>
      <x:c r="B11" s="13" t="str">
        <x:v>video_20260729_145714.mp4</x:v>
      </x:c>
      <x:c r="C11" s="25" t="str">
        <x:v>D:\Lightglue\lg_env\SU01\video_20260729_145714.mp4</x:v>
      </x:c>
      <x:c r="D11" s="13" t="str">
        <x:v>OK</x:v>
      </x:c>
      <x:c r="E11" s="25" t="str"/>
      <x:c r="F11" s="13" t="n">
        <x:v>50</x:v>
      </x:c>
      <x:c r="G11" s="13" t="n">
        <x:v>217</x:v>
      </x:c>
      <x:c r="H11" s="14" t="n">
        <x:v>0.4205276023256642</x:v>
      </x:c>
      <x:c r="I11" s="14" t="n">
        <x:v>2.271124944915656</x:v>
      </x:c>
      <x:c r="J11" s="14" t="n">
        <x:v>4.735256848529</x:v>
      </x:c>
      <x:c r="K11" s="14" t="n">
        <x:v>21.784248750385743</x:v>
      </x:c>
      <x:c r="L11" s="14" t="n">
        <x:v>20.322802442672728</x:v>
      </x:c>
      <x:c r="M11" s="14" t="n">
        <x:v>1.4614463077130146</x:v>
      </x:c>
      <x:c r="N11" s="15" t="n">
        <x:f>IFERROR(ABS(M11)/L11,"")</x:f>
        <x:v>0.07191165253096926</x:v>
      </x:c>
      <x:c r="O11" s="16" t="n">
        <x:v>0.4098423545337053</x:v>
      </x:c>
      <x:c r="P11" s="16" t="n">
        <x:v>0.4098423545337053</x:v>
      </x:c>
      <x:c r="Q11" s="16" t="n">
        <x:v>0.26054101850510986</x:v>
      </x:c>
      <x:c r="R11" s="17" t="b">
        <x:v>1</x:v>
      </x:c>
      <x:c r="S11" s="18" t="n">
        <x:v>1.019835599930957</x:v>
      </x:c>
      <x:c r="T11" s="14" t="n">
        <x:f>IF(M11="","",ABS(M11))</x:f>
        <x:v>1.4614463077130146</x:v>
      </x:c>
    </x:row>
    <x:row r="12">
      <x:c r="A12" s="13" t="n">
        <x:v>11</x:v>
      </x:c>
      <x:c r="B12" s="13" t="str">
        <x:v>video_20260729_145841.mp4</x:v>
      </x:c>
      <x:c r="C12" s="25" t="str">
        <x:v>D:\Lightglue\lg_env\SU01\video_20260729_145841.mp4</x:v>
      </x:c>
      <x:c r="D12" s="13" t="str">
        <x:v>OK</x:v>
      </x:c>
      <x:c r="E12" s="25" t="str"/>
      <x:c r="F12" s="13" t="n">
        <x:v>50</x:v>
      </x:c>
      <x:c r="G12" s="13" t="n">
        <x:v>305</x:v>
      </x:c>
      <x:c r="H12" s="14" t="n">
        <x:v>0.5289588417661574</x:v>
      </x:c>
      <x:c r="I12" s="14" t="n">
        <x:v>2.1915114508288975</x:v>
      </x:c>
      <x:c r="J12" s="14" t="n">
        <x:v>5.607131514187748</x:v>
      </x:c>
      <x:c r="K12" s="14" t="n">
        <x:v>21.152825172454428</x:v>
      </x:c>
      <x:c r="L12" s="14" t="n">
        <x:v>20.322802442672728</x:v>
      </x:c>
      <x:c r="M12" s="14" t="n">
        <x:v>0.8300227297816996</x:v>
      </x:c>
      <x:c r="N12" s="15" t="n">
        <x:f>IFERROR(ABS(M12)/L12,"")</x:f>
        <x:v>0.04084194254818235</x:v>
      </x:c>
      <x:c r="O12" s="16" t="n">
        <x:v>0.4128264324427122</x:v>
      </x:c>
      <x:c r="P12" s="16" t="n">
        <x:v>0.4128264324427122</x:v>
      </x:c>
      <x:c r="Q12" s="16" t="n">
        <x:v>0.2787632262343318</x:v>
      </x:c>
      <x:c r="R12" s="17" t="b">
        <x:v>1</x:v>
      </x:c>
      <x:c r="S12" s="18" t="n">
        <x:v>0.7254893999779597</x:v>
      </x:c>
      <x:c r="T12" s="14" t="n">
        <x:f>IF(M12="","",ABS(M12))</x:f>
        <x:v>0.8300227297816996</x:v>
      </x:c>
    </x:row>
    <x:row r="13">
      <x:c r="A13" s="13" t="n">
        <x:v>12</x:v>
      </x:c>
      <x:c r="B13" s="13" t="str">
        <x:v>video_20260729_150023.mp4</x:v>
      </x:c>
      <x:c r="C13" s="25" t="str">
        <x:v>D:\Lightglue\lg_env\SU01\video_20260729_150023.mp4</x:v>
      </x:c>
      <x:c r="D13" s="13" t="str">
        <x:v>OK</x:v>
      </x:c>
      <x:c r="E13" s="25" t="str"/>
      <x:c r="F13" s="13" t="n">
        <x:v>50</x:v>
      </x:c>
      <x:c r="G13" s="13" t="n">
        <x:v>430</x:v>
      </x:c>
      <x:c r="H13" s="14" t="n">
        <x:v>0.7025295588205511</x:v>
      </x:c>
      <x:c r="I13" s="14" t="n">
        <x:v>2.1300994721119957</x:v>
      </x:c>
      <x:c r="J13" s="14" t="n">
        <x:v>5.9885179793679</x:v>
      </x:c>
      <x:c r="K13" s="14" t="n">
        <x:v>20.00740414989489</x:v>
      </x:c>
      <x:c r="L13" s="14" t="n">
        <x:v>20.322802442672728</x:v>
      </x:c>
      <x:c r="M13" s="14" t="n">
        <x:v>-0.3153982927778394</x:v>
      </x:c>
      <x:c r="N13" s="15" t="n">
        <x:f>IFERROR(ABS(M13)/L13,"")</x:f>
        <x:v>0.015519429156855995</x:v>
      </x:c>
      <x:c r="O13" s="16" t="n">
        <x:v>0.4373459702729475</x:v>
      </x:c>
      <x:c r="P13" s="16" t="n">
        <x:v>0.39525467798307334</x:v>
      </x:c>
      <x:c r="Q13" s="16" t="n">
        <x:v>0.4373459702729475</x:v>
      </x:c>
      <x:c r="R13" s="17" t="b">
        <x:v>1</x:v>
      </x:c>
      <x:c r="S13" s="18" t="n">
        <x:v>2.0227318999823183</x:v>
      </x:c>
      <x:c r="T13" s="14" t="n">
        <x:f>IF(M13="","",ABS(M13))</x:f>
        <x:v>0.3153982927778394</x:v>
      </x:c>
    </x:row>
    <x:row r="14">
      <x:c r="A14" s="13" t="n">
        <x:v>13</x:v>
      </x:c>
      <x:c r="B14" s="13" t="str">
        <x:v>video_20260729_150509.mp4</x:v>
      </x:c>
      <x:c r="C14" s="25" t="str">
        <x:v>D:\Lightglue\lg_env\SU01\video_20260729_150509.mp4</x:v>
      </x:c>
      <x:c r="D14" s="13" t="str">
        <x:v>OK</x:v>
      </x:c>
      <x:c r="E14" s="25" t="str"/>
      <x:c r="F14" s="13" t="n">
        <x:v>50</x:v>
      </x:c>
      <x:c r="G14" s="13" t="n">
        <x:v>196</x:v>
      </x:c>
      <x:c r="H14" s="14" t="n">
        <x:v>0.4533301546142752</x:v>
      </x:c>
      <x:c r="I14" s="14" t="n">
        <x:v>1.8592479338033454</x:v>
      </x:c>
      <x:c r="J14" s="14" t="n">
        <x:v>1.8360734377644483</x:v>
      </x:c>
      <x:c r="K14" s="14" t="n">
        <x:v>22.053866374935218</x:v>
      </x:c>
      <x:c r="L14" s="14" t="n">
        <x:v>20.322802442672728</x:v>
      </x:c>
      <x:c r="M14" s="14" t="n">
        <x:v>1.7310639322624901</x:v>
      </x:c>
      <x:c r="N14" s="15" t="n">
        <x:f>IFERROR(ABS(M14)/L14,"")</x:f>
        <x:v>0.08517840672542755</x:v>
      </x:c>
      <x:c r="O14" s="16" t="n">
        <x:v>0.565362952493877</x:v>
      </x:c>
      <x:c r="P14" s="16" t="n">
        <x:v>0.23633864946864225</x:v>
      </x:c>
      <x:c r="Q14" s="16" t="n">
        <x:v>0.565362952493877</x:v>
      </x:c>
      <x:c r="R14" s="17" t="b">
        <x:v>1</x:v>
      </x:c>
      <x:c r="S14" s="18" t="n">
        <x:v>1.6720412999857217</x:v>
      </x:c>
      <x:c r="T14" s="14" t="n">
        <x:f>IF(M14="","",ABS(M14))</x:f>
        <x:v>1.7310639322624901</x:v>
      </x:c>
    </x:row>
    <x:row r="15">
      <x:c r="A15" s="13" t="n">
        <x:v>14</x:v>
      </x:c>
      <x:c r="B15" s="13" t="str">
        <x:v>video_20260729_150648.mp4</x:v>
      </x:c>
      <x:c r="C15" s="25" t="str">
        <x:v>D:\Lightglue\lg_env\SU01\video_20260729_150648.mp4</x:v>
      </x:c>
      <x:c r="D15" s="13" t="str">
        <x:v>OK</x:v>
      </x:c>
      <x:c r="E15" s="25" t="str"/>
      <x:c r="F15" s="13" t="n">
        <x:v>50</x:v>
      </x:c>
      <x:c r="G15" s="13" t="n">
        <x:v>383</x:v>
      </x:c>
      <x:c r="H15" s="14" t="n">
        <x:v>0.7280862806493256</x:v>
      </x:c>
      <x:c r="I15" s="14" t="n">
        <x:v>2.23372258176436</x:v>
      </x:c>
      <x:c r="J15" s="14" t="n">
        <x:v>3.8418599938634346</x:v>
      </x:c>
      <x:c r="K15" s="14" t="n">
        <x:v>22.04781829034586</x:v>
      </x:c>
      <x:c r="L15" s="14" t="n">
        <x:v>20.322802442672728</x:v>
      </x:c>
      <x:c r="M15" s="14" t="n">
        <x:v>1.7250158476731308</x:v>
      </x:c>
      <x:c r="N15" s="15" t="n">
        <x:f>IFERROR(ABS(M15)/L15,"")</x:f>
        <x:v>0.08488080581106448</x:v>
      </x:c>
      <x:c r="O15" s="16" t="n">
        <x:v>0.6583411346303264</x:v>
      </x:c>
      <x:c r="P15" s="16" t="n">
        <x:v>0.09906330886068827</x:v>
      </x:c>
      <x:c r="Q15" s="16" t="n">
        <x:v>0.6583411346303264</x:v>
      </x:c>
      <x:c r="R15" s="17" t="b">
        <x:v>1</x:v>
      </x:c>
      <x:c r="S15" s="18" t="n">
        <x:v>2.252794000087306</x:v>
      </x:c>
      <x:c r="T15" s="14" t="n">
        <x:f>IF(M15="","",ABS(M15))</x:f>
        <x:v>1.7250158476731308</x:v>
      </x:c>
    </x:row>
    <x:row r="16">
      <x:c r="A16" s="13" t="n">
        <x:v>15</x:v>
      </x:c>
      <x:c r="B16" s="13" t="str">
        <x:v>video_20260729_151057.mp4</x:v>
      </x:c>
      <x:c r="C16" s="25" t="str">
        <x:v>D:\Lightglue\lg_env\SU01\video_20260729_151057.mp4</x:v>
      </x:c>
      <x:c r="D16" s="13" t="str">
        <x:v>QUALITY_WARNING</x:v>
      </x:c>
      <x:c r="E16" s="25" t="str">
        <x:v>RT result produced, but the analyzer quality flag is false.</x:v>
      </x:c>
      <x:c r="F16" s="13" t="n">
        <x:v>50</x:v>
      </x:c>
      <x:c r="G16" s="13" t="n">
        <x:v>138</x:v>
      </x:c>
      <x:c r="H16" s="14" t="n">
        <x:v>0.8356581392996992</x:v>
      </x:c>
      <x:c r="I16" s="14" t="n">
        <x:v>2.2908118904329964</x:v>
      </x:c>
      <x:c r="J16" s="14" t="n">
        <x:v>2.9270624776212215</x:v>
      </x:c>
      <x:c r="K16" s="14" t="n">
        <x:v>22.338551260816466</x:v>
      </x:c>
      <x:c r="L16" s="14" t="n">
        <x:v>20.322802442672728</x:v>
      </x:c>
      <x:c r="M16" s="14" t="n">
        <x:v>2.015748818143738</x:v>
      </x:c>
      <x:c r="N16" s="15" t="n">
        <x:f>IFERROR(ABS(M16)/L16,"")</x:f>
        <x:v>0.09918655775106966</x:v>
      </x:c>
      <x:c r="O16" s="16" t="n">
        <x:v>0.8149881411526477</x:v>
      </x:c>
      <x:c r="P16" s="16" t="n">
        <x:v>0.03761644301062832</x:v>
      </x:c>
      <x:c r="Q16" s="16" t="n">
        <x:v>0.8149881411526477</x:v>
      </x:c>
      <x:c r="R16" s="17" t="b">
        <x:v>0</x:v>
      </x:c>
      <x:c r="S16" s="18" t="n">
        <x:v>0.7249698999803513</x:v>
      </x:c>
      <x:c r="T16" s="14" t="n">
        <x:f>IF(M16="","",ABS(M16))</x:f>
        <x:v>2.015748818143738</x:v>
      </x:c>
    </x:row>
    <x:row r="17">
      <x:c r="A17" s="13" t="n">
        <x:v>16</x:v>
      </x:c>
      <x:c r="B17" s="13" t="str">
        <x:v>video_20260729_151442.mp4</x:v>
      </x:c>
      <x:c r="C17" s="25" t="str">
        <x:v>D:\Lightglue\lg_env\SU01\video_20260729_151442.mp4</x:v>
      </x:c>
      <x:c r="D17" s="13" t="str">
        <x:v>OK</x:v>
      </x:c>
      <x:c r="E17" s="25" t="str"/>
      <x:c r="F17" s="13" t="n">
        <x:v>50</x:v>
      </x:c>
      <x:c r="G17" s="13" t="n">
        <x:v>64</x:v>
      </x:c>
      <x:c r="H17" s="14" t="n">
        <x:v>0.2378528299870383</x:v>
      </x:c>
      <x:c r="I17" s="14" t="n">
        <x:v>1.0564860478992415</x:v>
      </x:c>
      <x:c r="J17" s="14" t="n">
        <x:v>2.828760211122937</x:v>
      </x:c>
      <x:c r="K17" s="14" t="n">
        <x:v>19.966003183157053</x:v>
      </x:c>
      <x:c r="L17" s="14" t="n">
        <x:v>20.322802442672728</x:v>
      </x:c>
      <x:c r="M17" s="14" t="n">
        <x:v>-0.35679925951567526</x:v>
      </x:c>
      <x:c r="N17" s="15" t="n">
        <x:f>IFERROR(ABS(M17)/L17,"")</x:f>
        <x:v>0.017556597350298863</x:v>
      </x:c>
      <x:c r="O17" s="16" t="n">
        <x:v>0.37852504728706626</x:v>
      </x:c>
      <x:c r="P17" s="16" t="n">
        <x:v>0.3444666617139558</x:v>
      </x:c>
      <x:c r="Q17" s="16" t="n">
        <x:v>0.37852504728706626</x:v>
      </x:c>
      <x:c r="R17" s="17" t="b">
        <x:v>1</x:v>
      </x:c>
      <x:c r="S17" s="18" t="n">
        <x:v>0.9679127000272274</x:v>
      </x:c>
      <x:c r="T17" s="14" t="n">
        <x:f>IF(M17="","",ABS(M17))</x:f>
        <x:v>0.35679925951567526</x:v>
      </x:c>
    </x:row>
    <x:row r="18">
      <x:c r="A18" s="13" t="n">
        <x:v>17</x:v>
      </x:c>
      <x:c r="B18" s="13" t="str">
        <x:v>video_20260729_151647.mp4</x:v>
      </x:c>
      <x:c r="C18" s="25" t="str">
        <x:v>D:\Lightglue\lg_env\SU01\video_20260729_151647.mp4</x:v>
      </x:c>
      <x:c r="D18" s="13" t="str">
        <x:v>OK</x:v>
      </x:c>
      <x:c r="E18" s="25" t="str"/>
      <x:c r="F18" s="13" t="n">
        <x:v>50</x:v>
      </x:c>
      <x:c r="G18" s="13" t="n">
        <x:v>114</x:v>
      </x:c>
      <x:c r="H18" s="14" t="n">
        <x:v>0.6369282786270525</x:v>
      </x:c>
      <x:c r="I18" s="14" t="n">
        <x:v>1.3394160878336816</x:v>
      </x:c>
      <x:c r="J18" s="14" t="n">
        <x:v>3.6717819662066473</x:v>
      </x:c>
      <x:c r="K18" s="14" t="n">
        <x:v>20.597568446615284</x:v>
      </x:c>
      <x:c r="L18" s="14" t="n">
        <x:v>20.322802442672728</x:v>
      </x:c>
      <x:c r="M18" s="14" t="n">
        <x:v>0.2747660039425561</x:v>
      </x:c>
      <x:c r="N18" s="15" t="n">
        <x:f>IFERROR(ABS(M18)/L18,"")</x:f>
        <x:v>0.013520084383914359</x:v>
      </x:c>
      <x:c r="O18" s="16" t="n">
        <x:v>0.4560281922399937</x:v>
      </x:c>
      <x:c r="P18" s="16" t="n">
        <x:v>0.3430050402279355</x:v>
      </x:c>
      <x:c r="Q18" s="16" t="n">
        <x:v>0.4560281922399937</x:v>
      </x:c>
      <x:c r="R18" s="17" t="b">
        <x:v>1</x:v>
      </x:c>
      <x:c r="S18" s="18" t="n">
        <x:v>0.7326879999600351</x:v>
      </x:c>
      <x:c r="T18" s="14" t="n">
        <x:f>IF(M18="","",ABS(M18))</x:f>
        <x:v>0.2747660039425561</x:v>
      </x:c>
    </x:row>
    <x:row r="19">
      <x:c r="A19" s="13" t="n">
        <x:v>18</x:v>
      </x:c>
      <x:c r="B19" s="13" t="str">
        <x:v>video_20260729_152425.mp4</x:v>
      </x:c>
      <x:c r="C19" s="25" t="str">
        <x:v>D:\Lightglue\lg_env\SU01\video_20260729_152425.mp4</x:v>
      </x:c>
      <x:c r="D19" s="13" t="str">
        <x:v>QUALITY_WARNING</x:v>
      </x:c>
      <x:c r="E19" s="25" t="str">
        <x:v>RT result produced, but the analyzer quality flag is false.</x:v>
      </x:c>
      <x:c r="F19" s="13" t="n">
        <x:v>50</x:v>
      </x:c>
      <x:c r="G19" s="13" t="n">
        <x:v>65</x:v>
      </x:c>
      <x:c r="H19" s="14" t="n">
        <x:v>2.8767004710394337</x:v>
      </x:c>
      <x:c r="I19" s="14" t="n">
        <x:v>5.9853279432337985</x:v>
      </x:c>
      <x:c r="J19" s="14" t="n">
        <x:v>13.56401563347167</x:v>
      </x:c>
      <x:c r="K19" s="14" t="n">
        <x:v>23.376210972027522</x:v>
      </x:c>
      <x:c r="L19" s="14" t="n">
        <x:v>20.322802442672728</x:v>
      </x:c>
      <x:c r="M19" s="14" t="n">
        <x:v>3.053408529354794</x:v>
      </x:c>
      <x:c r="N19" s="15" t="n">
        <x:f>IFERROR(ABS(M19)/L19,"")</x:f>
        <x:v>0.15024544660944059</x:v>
      </x:c>
      <x:c r="O19" s="16" t="n">
        <x:v>1.0670423611811257</x:v>
      </x:c>
      <x:c r="P19" s="16" t="n">
        <x:v>0.02201476699597433</x:v>
      </x:c>
      <x:c r="Q19" s="16" t="n">
        <x:v>1.0670423611811257</x:v>
      </x:c>
      <x:c r="R19" s="17" t="b">
        <x:v>0</x:v>
      </x:c>
      <x:c r="S19" s="18" t="n">
        <x:v>0.7652581000002101</x:v>
      </x:c>
      <x:c r="T19" s="14" t="n">
        <x:f>IF(M19="","",ABS(M19))</x:f>
        <x:v>3.053408529354794</x:v>
      </x:c>
    </x:row>
    <x:row r="20">
      <x:c r="A20" s="13" t="n">
        <x:v>19</x:v>
      </x:c>
      <x:c r="B20" s="13" t="str">
        <x:v>video_20260729_152715.mp4</x:v>
      </x:c>
      <x:c r="C20" s="25" t="str">
        <x:v>D:\Lightglue\lg_env\SU01\video_20260729_152715.mp4</x:v>
      </x:c>
      <x:c r="D20" s="13" t="str">
        <x:v>OK</x:v>
      </x:c>
      <x:c r="E20" s="25" t="str"/>
      <x:c r="F20" s="13" t="n">
        <x:v>50</x:v>
      </x:c>
      <x:c r="G20" s="13" t="n">
        <x:v>85</x:v>
      </x:c>
      <x:c r="H20" s="14" t="n">
        <x:v>1.3113532012901417</x:v>
      </x:c>
      <x:c r="I20" s="14" t="n">
        <x:v>2.7259613616934457</x:v>
      </x:c>
      <x:c r="J20" s="14" t="n">
        <x:v>3.9093649665732646</x:v>
      </x:c>
      <x:c r="K20" s="14" t="n">
        <x:v>22.62307607095423</x:v>
      </x:c>
      <x:c r="L20" s="14" t="n">
        <x:v>20.322802442672728</x:v>
      </x:c>
      <x:c r="M20" s="14" t="n">
        <x:v>2.300273628281502</x:v>
      </x:c>
      <x:c r="N20" s="15" t="n">
        <x:f>IFERROR(ABS(M20)/L20,"")</x:f>
        <x:v>0.11318683211974305</x:v>
      </x:c>
      <x:c r="O20" s="16" t="n">
        <x:v>0.4291786276156281</x:v>
      </x:c>
      <x:c r="P20" s="16" t="n">
        <x:v>0.38137863184039494</x:v>
      </x:c>
      <x:c r="Q20" s="16" t="n">
        <x:v>0.4291786276156281</x:v>
      </x:c>
      <x:c r="R20" s="17" t="b">
        <x:v>1</x:v>
      </x:c>
      <x:c r="S20" s="18" t="n">
        <x:v>1.9497065000468865</x:v>
      </x:c>
      <x:c r="T20" s="14" t="n">
        <x:f>IF(M20="","",ABS(M20))</x:f>
        <x:v>2.300273628281502</x:v>
      </x:c>
    </x:row>
    <x:row r="21">
      <x:c r="A21" s="13" t="n">
        <x:v>20</x:v>
      </x:c>
      <x:c r="B21" s="13" t="str">
        <x:v>video_20260729_152858.mp4</x:v>
      </x:c>
      <x:c r="C21" s="25" t="str">
        <x:v>D:\Lightglue\lg_env\SU01\video_20260729_152858.mp4</x:v>
      </x:c>
      <x:c r="D21" s="13" t="str">
        <x:v>OK</x:v>
      </x:c>
      <x:c r="E21" s="25" t="str"/>
      <x:c r="F21" s="13" t="n">
        <x:v>50</x:v>
      </x:c>
      <x:c r="G21" s="13" t="n">
        <x:v>72</x:v>
      </x:c>
      <x:c r="H21" s="14" t="n">
        <x:v>0.7615938426140978</x:v>
      </x:c>
      <x:c r="I21" s="14" t="n">
        <x:v>1.55028303953412</x:v>
      </x:c>
      <x:c r="J21" s="14" t="n">
        <x:v>3.5228447671067284</x:v>
      </x:c>
      <x:c r="K21" s="14" t="n">
        <x:v>21.20307456402529</x:v>
      </x:c>
      <x:c r="L21" s="14" t="n">
        <x:v>20.322802442672728</x:v>
      </x:c>
      <x:c r="M21" s="14" t="n">
        <x:v>0.8802721213525615</x:v>
      </x:c>
      <x:c r="N21" s="15" t="n">
        <x:f>IFERROR(ABS(M21)/L21,"")</x:f>
        <x:v>0.04331450467206301</x:v>
      </x:c>
      <x:c r="O21" s="16" t="n">
        <x:v>0.49897129529124995</x:v>
      </x:c>
      <x:c r="P21" s="16" t="n">
        <x:v>0.3387439553375087</x:v>
      </x:c>
      <x:c r="Q21" s="16" t="n">
        <x:v>0.49897129529124995</x:v>
      </x:c>
      <x:c r="R21" s="17" t="b">
        <x:v>1</x:v>
      </x:c>
      <x:c r="S21" s="18" t="n">
        <x:v>1.9219670000020415</x:v>
      </x:c>
      <x:c r="T21" s="14" t="n">
        <x:f>IF(M21="","",ABS(M21))</x:f>
        <x:v>0.8802721213525615</x:v>
      </x:c>
    </x:row>
    <x:row r="22">
      <x:c r="A22" s="13" t="n">
        <x:v>21</x:v>
      </x:c>
      <x:c r="B22" s="13" t="str">
        <x:v>video_20260729_153044.mp4</x:v>
      </x:c>
      <x:c r="C22" s="25" t="str">
        <x:v>D:\Lightglue\lg_env\SU01\video_20260729_153044.mp4</x:v>
      </x:c>
      <x:c r="D22" s="13" t="str">
        <x:v>OK</x:v>
      </x:c>
      <x:c r="E22" s="25" t="str"/>
      <x:c r="F22" s="13" t="n">
        <x:v>50</x:v>
      </x:c>
      <x:c r="G22" s="13" t="n">
        <x:v>85</x:v>
      </x:c>
      <x:c r="H22" s="14" t="n">
        <x:v>0.9303563859515999</x:v>
      </x:c>
      <x:c r="I22" s="14" t="n">
        <x:v>2.2210070188562367</x:v>
      </x:c>
      <x:c r="J22" s="14" t="n">
        <x:v>6.08703471698027</x:v>
      </x:c>
      <x:c r="K22" s="14" t="n">
        <x:v>20.745622992879504</x:v>
      </x:c>
      <x:c r="L22" s="14" t="n">
        <x:v>20.322802442672728</x:v>
      </x:c>
      <x:c r="M22" s="14" t="n">
        <x:v>0.4228205502067759</x:v>
      </x:c>
      <x:c r="N22" s="15" t="n">
        <x:f>IFERROR(ABS(M22)/L22,"")</x:f>
        <x:v>0.020805228580038748</x:v>
      </x:c>
      <x:c r="O22" s="16" t="n">
        <x:v>0.3802319608359336</x:v>
      </x:c>
      <x:c r="P22" s="16" t="n">
        <x:v>0.17890115919769126</x:v>
      </x:c>
      <x:c r="Q22" s="16" t="n">
        <x:v>0.3802319608359336</x:v>
      </x:c>
      <x:c r="R22" s="17" t="b">
        <x:v>1</x:v>
      </x:c>
      <x:c r="S22" s="18" t="n">
        <x:v>1.2226715999422595</x:v>
      </x:c>
      <x:c r="T22" s="14" t="n">
        <x:f>IF(M22="","",ABS(M22))</x:f>
        <x:v>0.4228205502067759</x:v>
      </x:c>
    </x:row>
    <x:row r="23">
      <x:c r="A23" s="13" t="n">
        <x:v>22</x:v>
      </x:c>
      <x:c r="B23" s="13" t="str">
        <x:v>video_20260729_153549.mp4</x:v>
      </x:c>
      <x:c r="C23" s="25" t="str">
        <x:v>D:\Lightglue\lg_env\SU01\video_20260729_153549.mp4</x:v>
      </x:c>
      <x:c r="D23" s="13" t="str">
        <x:v>OK</x:v>
      </x:c>
      <x:c r="E23" s="25" t="str"/>
      <x:c r="F23" s="13" t="n">
        <x:v>50</x:v>
      </x:c>
      <x:c r="G23" s="13" t="n">
        <x:v>126</x:v>
      </x:c>
      <x:c r="H23" s="14" t="n">
        <x:v>1.175358016176788</x:v>
      </x:c>
      <x:c r="I23" s="14" t="n">
        <x:v>2.1583787403210213</x:v>
      </x:c>
      <x:c r="J23" s="14" t="n">
        <x:v>2.338425039345089</x:v>
      </x:c>
      <x:c r="K23" s="14" t="n">
        <x:v>22.29861851639315</x:v>
      </x:c>
      <x:c r="L23" s="14" t="n">
        <x:v>20.322802442672728</x:v>
      </x:c>
      <x:c r="M23" s="14" t="n">
        <x:v>1.9758160737204236</x:v>
      </x:c>
      <x:c r="N23" s="15" t="n">
        <x:f>IFERROR(ABS(M23)/L23,"")</x:f>
        <x:v>0.09722163462907611</x:v>
      </x:c>
      <x:c r="O23" s="16" t="n">
        <x:v>0.3160236941945965</x:v>
      </x:c>
      <x:c r="P23" s="16" t="n">
        <x:v>0.22013482002043314</x:v>
      </x:c>
      <x:c r="Q23" s="16" t="n">
        <x:v>0.3160236941945965</x:v>
      </x:c>
      <x:c r="R23" s="17" t="b">
        <x:v>1</x:v>
      </x:c>
      <x:c r="S23" s="18" t="n">
        <x:v>0.9063557999907061</x:v>
      </x:c>
      <x:c r="T23" s="14" t="n">
        <x:f>IF(M23="","",ABS(M23))</x:f>
        <x:v>1.9758160737204236</x:v>
      </x:c>
    </x:row>
    <x:row r="24">
      <x:c r="A24" s="13" t="n">
        <x:v>23</x:v>
      </x:c>
      <x:c r="B24" s="13" t="str">
        <x:v>video_20260729_155047.mp4</x:v>
      </x:c>
      <x:c r="C24" s="25" t="str">
        <x:v>D:\Lightglue\lg_env\SU01\video_20260729_155047.mp4</x:v>
      </x:c>
      <x:c r="D24" s="13" t="str">
        <x:v>OK</x:v>
      </x:c>
      <x:c r="E24" s="25" t="str"/>
      <x:c r="F24" s="13" t="n">
        <x:v>50</x:v>
      </x:c>
      <x:c r="G24" s="13" t="n">
        <x:v>52</x:v>
      </x:c>
      <x:c r="H24" s="14" t="n">
        <x:v>0.35580097718410336</x:v>
      </x:c>
      <x:c r="I24" s="14" t="n">
        <x:v>1.107290187216248</x:v>
      </x:c>
      <x:c r="J24" s="14" t="n">
        <x:v>2.977247639793121</x:v>
      </x:c>
      <x:c r="K24" s="14" t="n">
        <x:v>19.960861013183337</x:v>
      </x:c>
      <x:c r="L24" s="14" t="n">
        <x:v>20.322802442672728</x:v>
      </x:c>
      <x:c r="M24" s="14" t="n">
        <x:v>-0.36194142948939145</x:v>
      </x:c>
      <x:c r="N24" s="15" t="n">
        <x:f>IFERROR(ABS(M24)/L24,"")</x:f>
        <x:v>0.01780962200023193</x:v>
      </x:c>
      <x:c r="O24" s="16" t="n">
        <x:v>0.5449745633709939</x:v>
      </x:c>
      <x:c r="P24" s="16" t="n">
        <x:v>0.21284118363488055</x:v>
      </x:c>
      <x:c r="Q24" s="16" t="n">
        <x:v>0.5449745633709939</x:v>
      </x:c>
      <x:c r="R24" s="17" t="b">
        <x:v>1</x:v>
      </x:c>
      <x:c r="S24" s="18" t="n">
        <x:v>1.0603093999670818</x:v>
      </x:c>
      <x:c r="T24" s="14" t="n">
        <x:f>IF(M24="","",ABS(M24))</x:f>
        <x:v>0.36194142948939145</x:v>
      </x:c>
    </x:row>
    <x:row r="25">
      <x:c r="A25" s="13" t="n">
        <x:v>24</x:v>
      </x:c>
      <x:c r="B25" s="13" t="str">
        <x:v>video_20260729_155132.mp4</x:v>
      </x:c>
      <x:c r="C25" s="25" t="str">
        <x:v>D:\Lightglue\lg_env\SU01\video_20260729_155132.mp4</x:v>
      </x:c>
      <x:c r="D25" s="13" t="str">
        <x:v>QUALITY_WARNING</x:v>
      </x:c>
      <x:c r="E25" s="25" t="str">
        <x:v>RT result produced, but the analyzer quality flag is false.</x:v>
      </x:c>
      <x:c r="F25" s="13" t="n">
        <x:v>50</x:v>
      </x:c>
      <x:c r="G25" s="13" t="n">
        <x:v>113</x:v>
      </x:c>
      <x:c r="H25" s="14" t="n">
        <x:v>2.491314356116147</x:v>
      </x:c>
      <x:c r="I25" s="14" t="n">
        <x:v>5.690004936465987</x:v>
      </x:c>
      <x:c r="J25" s="14" t="n">
        <x:v>13.246750667102575</x:v>
      </x:c>
      <x:c r="K25" s="14" t="n">
        <x:v>23.051568498890287</x:v>
      </x:c>
      <x:c r="L25" s="14" t="n">
        <x:v>20.322802442672728</x:v>
      </x:c>
      <x:c r="M25" s="14" t="n">
        <x:v>2.728766056217559</x:v>
      </x:c>
      <x:c r="N25" s="15" t="n">
        <x:f>IFERROR(ABS(M25)/L25,"")</x:f>
        <x:v>0.13427115005004636</x:v>
      </x:c>
      <x:c r="O25" s="16" t="n">
        <x:v>0.3214624225785392</x:v>
      </x:c>
      <x:c r="P25" s="16" t="n">
        <x:v>0.047986331681326724</x:v>
      </x:c>
      <x:c r="Q25" s="16" t="n">
        <x:v>0.3214624225785392</x:v>
      </x:c>
      <x:c r="R25" s="17" t="b">
        <x:v>0</x:v>
      </x:c>
      <x:c r="S25" s="18" t="n">
        <x:v>0.7316499999724329</x:v>
      </x:c>
      <x:c r="T25" s="14" t="n">
        <x:f>IF(M25="","",ABS(M25))</x:f>
        <x:v>2.728766056217559</x:v>
      </x:c>
    </x:row>
    <x:row r="26">
      <x:c r="A26" s="19" t="n">
        <x:v>25</x:v>
      </x:c>
      <x:c r="B26" s="19" t="str">
        <x:v>video_20260729_155315.mp4</x:v>
      </x:c>
      <x:c r="C26" s="26" t="str">
        <x:v>D:\Lightglue\lg_env\SU01\video_20260729_155315.mp4</x:v>
      </x:c>
      <x:c r="D26" s="19" t="str">
        <x:v>OK</x:v>
      </x:c>
      <x:c r="E26" s="26" t="str"/>
      <x:c r="F26" s="19" t="n">
        <x:v>50</x:v>
      </x:c>
      <x:c r="G26" s="19" t="n">
        <x:v>107</x:v>
      </x:c>
      <x:c r="H26" s="20" t="n">
        <x:v>0.708215430069678</x:v>
      </x:c>
      <x:c r="I26" s="20" t="n">
        <x:v>1.7594596829022062</x:v>
      </x:c>
      <x:c r="J26" s="20" t="n">
        <x:v>4.960446752172627</x:v>
      </x:c>
      <x:c r="K26" s="20" t="n">
        <x:v>20.158980974304896</x:v>
      </x:c>
      <x:c r="L26" s="20" t="n">
        <x:v>20.322802442672728</x:v>
      </x:c>
      <x:c r="M26" s="20" t="n">
        <x:v>-0.16382146836783207</x:v>
      </x:c>
      <x:c r="N26" s="21" t="n">
        <x:f>IFERROR(ABS(M26)/L26,"")</x:f>
        <x:v>0.00806096840383827</x:v>
      </x:c>
      <x:c r="O26" s="22" t="n">
        <x:v>0.5260458476910456</x:v>
      </x:c>
      <x:c r="P26" s="22" t="n">
        <x:v>0.221121227783431</x:v>
      </x:c>
      <x:c r="Q26" s="22" t="n">
        <x:v>0.5260458476910456</x:v>
      </x:c>
      <x:c r="R26" s="23" t="b">
        <x:v>1</x:v>
      </x:c>
      <x:c r="S26" s="24" t="n">
        <x:v>0.8307234999956563</x:v>
      </x:c>
      <x:c r="T26" s="20" t="n">
        <x:f>IF(M26="","",ABS(M26))</x:f>
        <x:v>0.16382146836783207</x:v>
      </x:c>
    </x:row>
  </x:sheetData>
  <x:conditionalFormatting sqref="D2:D26">
    <x:cfRule type="containsText" dxfId="0" priority="1" operator="containsText" text="FAILED"/>
    <x:cfRule type="containsText" dxfId="1" priority="2" operator="containsText" text="QUALITY_WARNING"/>
    <x:cfRule type="containsText" dxfId="2" priority="3" operator="containsText" text="OK"/>
  </x:conditionalFormatting>
  <x:conditionalFormatting sqref="N2:N26">
    <x:cfRule type="colorScale" priority="4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d1478e4ef0b4e5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>
      <x:c r="A1" s="27" t="str">
        <x:v>Metric</x:v>
      </x:c>
      <x:c r="B1" s="27" t="str">
        <x:v>Value</x:v>
      </x:c>
    </x:row>
    <x:row r="2">
      <x:c r="A2" s="29" t="str">
        <x:v>Total Videos</x:v>
      </x:c>
      <x:c r="B2" s="28" t="n">
        <x:f>COUNTA('RT Results'!B2:B26)</x:f>
        <x:v>25</x:v>
      </x:c>
    </x:row>
    <x:row r="3">
      <x:c r="A3" s="29" t="str">
        <x:v>RT Results Produced</x:v>
      </x:c>
      <x:c r="B3" s="28" t="n">
        <x:f>COUNT('RT Results'!K2:K26)</x:f>
        <x:v>25</x:v>
      </x:c>
    </x:row>
    <x:row r="4">
      <x:c r="A4" s="29" t="str">
        <x:v>Quality OK</x:v>
      </x:c>
      <x:c r="B4" s="28" t="n">
        <x:f>COUNTIF('RT Results'!D2:D26,"OK")</x:f>
        <x:v>22</x:v>
      </x:c>
    </x:row>
    <x:row r="5">
      <x:c r="A5" s="29" t="str">
        <x:v>Quality Warnings</x:v>
      </x:c>
      <x:c r="B5" s="28" t="n">
        <x:f>COUNTIF('RT Results'!D2:D26,"QUALITY_WARNING")</x:f>
        <x:v>3</x:v>
      </x:c>
    </x:row>
    <x:row r="6">
      <x:c r="A6" s="29" t="str">
        <x:v>Failed</x:v>
      </x:c>
      <x:c r="B6" s="28" t="n">
        <x:f>COUNTIF('RT Results'!D2:D26,"FAILED")</x:f>
        <x:v>0</x:v>
      </x:c>
    </x:row>
    <x:row r="7">
      <x:c r="A7" s="29" t="str">
        <x:v>Mean Rotation Error (deg)</x:v>
      </x:c>
      <x:c r="B7" s="30" t="n">
        <x:f>IFERROR(AVERAGE('RT Results'!H2:H26),"")</x:f>
        <x:v>0.8050417192934158</x:v>
      </x:c>
    </x:row>
    <x:row r="8">
      <x:c r="A8" s="29" t="str">
        <x:v>Mean Absolute Baseline Delta (mm)</x:v>
      </x:c>
      <x:c r="B8" s="30" t="n">
        <x:f>IFERROR(AVERAGE('RT Results'!T2:T26),"")</x:f>
        <x:v>1.1438894640567616</x:v>
      </x:c>
    </x:row>
    <x:row r="9">
      <x:c r="A9" s="29" t="str">
        <x:v>Mean Baseline Error (%)</x:v>
      </x:c>
      <x:c r="B9" s="31" t="n">
        <x:f>IFERROR(AVERAGE('RT Results'!N2:N26),"")</x:f>
        <x:v>0.056286010125005406</x:v>
      </x:c>
    </x:row>
    <x:row r="10">
      <x:c r="A10" s="29" t="str">
        <x:v>Maximum Baseline Error (%)</x:v>
      </x:c>
      <x:c r="B10" s="31" t="n">
        <x:f>IFERROR(MAX('RT Results'!N2:N26),"")</x:f>
        <x:v>0.15024544660944059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8" hidden="0" customWidth="1"/>
  </x:cols>
  <x:sheetData>
    <x:row r="1">
      <x:c r="A1" s="27" t="str">
        <x:v>Parameter</x:v>
      </x:c>
      <x:c r="B1" s="27" t="str">
        <x:v>Value</x:v>
      </x:c>
    </x:row>
    <x:row r="2">
      <x:c r="A2" s="29" t="str">
        <x:v>Generated At</x:v>
      </x:c>
      <x:c r="B2" s="34" t="str">
        <x:v>2026-07-29T15:56:04</x:v>
      </x:c>
    </x:row>
    <x:row r="3">
      <x:c r="A3" s="29" t="str">
        <x:v>Source Folder</x:v>
      </x:c>
      <x:c r="B3" s="34" t="str">
        <x:v>D:\Lightglue\lg_env\SU01</x:v>
      </x:c>
    </x:row>
    <x:row r="4">
      <x:c r="A4" s="29" t="str">
        <x:v>Calibration File</x:v>
      </x:c>
      <x:c r="B4" s="34" t="str">
        <x:v>D:\Lightglue\lg_env\calibration_result_su01.json</x:v>
      </x:c>
    </x:row>
    <x:row r="5">
      <x:c r="A5" s="29" t="str">
        <x:v>Reference Frame Index (zero-based)</x:v>
      </x:c>
      <x:c r="B5" s="34" t="n">
        <x:v>50</x:v>
      </x:c>
    </x:row>
    <x:row r="6">
      <x:c r="A6" s="29" t="str">
        <x:v>Recursive Search</x:v>
      </x:c>
      <x:c r="B6" s="35" t="b">
        <x:v>0</x:v>
      </x:c>
    </x:row>
    <x:row r="7">
      <x:c r="A7" s="29" t="str">
        <x:v>Baseline Error Formula</x:v>
      </x:c>
      <x:c r="B7" s="34" t="str">
        <x:v>ABS(Algorithm Baseline - JSON Baseline) / JSON Baseline</x:v>
      </x:c>
    </x:row>
    <x:row r="8">
      <x:c r="A8" s="29" t="str">
        <x:v>Extrinsic Usage</x:v>
      </x:c>
      <x:c r="B8" s="34" t="str">
        <x:v>JSON R/T are ground truth only and are not used by RT estimation.</x:v>
      </x:c>
    </x:row>
  </x:sheetData>
  <x:pageMargins left="0.7" right="0.7" top="0.75" bottom="0.75" header="0.3" footer="0.3"/>
</x:worksheet>
</file>