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ightglue\lg_env\HBVCAM_4M2214HD-2-v11\"/>
    </mc:Choice>
  </mc:AlternateContent>
  <xr:revisionPtr revIDLastSave="0" documentId="13_ncr:1_{9966F311-BFAD-4049-86C4-6E346FF0D6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T Results" sheetId="1" r:id="rId1"/>
    <sheet name="Summary" sheetId="2" r:id="rId2"/>
    <sheet name="Protoco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H6" i="1"/>
  <c r="H5" i="1"/>
  <c r="H4" i="1"/>
  <c r="H3" i="1"/>
  <c r="H2" i="1"/>
  <c r="B5" i="2" l="1"/>
  <c r="B6" i="2"/>
  <c r="B7" i="2"/>
</calcChain>
</file>

<file path=xl/sharedStrings.xml><?xml version="1.0" encoding="utf-8"?>
<sst xmlns="http://schemas.openxmlformats.org/spreadsheetml/2006/main" count="43" uniqueCount="42">
  <si>
    <t>Run #</t>
  </si>
  <si>
    <t>Video File</t>
  </si>
  <si>
    <t>Video Path</t>
  </si>
  <si>
    <t>Rotation Error (deg)</t>
  </si>
  <si>
    <t>Algorithm Baseline (mm)</t>
  </si>
  <si>
    <t>JSON Baseline (mm)</t>
  </si>
  <si>
    <t>Baseline Delta (mm)</t>
  </si>
  <si>
    <t>Baseline Error (%)</t>
  </si>
  <si>
    <t>Marker Bidirectional RMS (px)</t>
  </si>
  <si>
    <t>Feature Median (px)</t>
  </si>
  <si>
    <t>Processing Time (s)</t>
  </si>
  <si>
    <t>video_20260729_171736.mp4</t>
  </si>
  <si>
    <t>D:\Lightglue\lg_env\HBVCAM_4M2214HD-2-v11\video_20260729_171736.mp4</t>
  </si>
  <si>
    <t>video_20260729_172717.mp4</t>
  </si>
  <si>
    <t>D:\Lightglue\lg_env\HBVCAM_4M2214HD-2-v11\video_20260729_172717.mp4</t>
  </si>
  <si>
    <t>video_20260729_173013.mp4</t>
  </si>
  <si>
    <t>D:\Lightglue\lg_env\HBVCAM_4M2214HD-2-v11\video_20260729_173013.mp4</t>
  </si>
  <si>
    <t>video_20260729_173233.mp4</t>
  </si>
  <si>
    <t>D:\Lightglue\lg_env\HBVCAM_4M2214HD-2-v11\video_20260729_173233.mp4</t>
  </si>
  <si>
    <t>video_20260729_175251.mp4</t>
  </si>
  <si>
    <t>D:\Lightglue\lg_env\HBVCAM_4M2214HD-2-v11\video_20260729_175251.mp4</t>
  </si>
  <si>
    <t>Value</t>
  </si>
  <si>
    <t>Total Videos</t>
  </si>
  <si>
    <t>RT Results Produced</t>
  </si>
  <si>
    <t>Mean Rotation Error (deg)</t>
  </si>
  <si>
    <t>Mean Absolute Baseline Delta (mm)</t>
  </si>
  <si>
    <t>Mean Baseline Error (%)</t>
  </si>
  <si>
    <t>Maximum Baseline Error (%)</t>
  </si>
  <si>
    <t>Parameter</t>
  </si>
  <si>
    <t>Generated At</t>
  </si>
  <si>
    <t>2026-07-29T17:53:56</t>
  </si>
  <si>
    <t>Source Folder</t>
  </si>
  <si>
    <t>D:\Lightglue\lg_env\HBVCAM_4M2214HD-2-v11</t>
  </si>
  <si>
    <t>Calibration File</t>
  </si>
  <si>
    <t>D:\Lightglue\lg_env\calibration_result_HBVCAM_4M2214HD-2-v11.json</t>
  </si>
  <si>
    <t>Reference Frame Index (zero-based)</t>
  </si>
  <si>
    <t>Recursive Search</t>
  </si>
  <si>
    <t>Baseline Error Formula</t>
  </si>
  <si>
    <t>ABS(Algorithm Baseline - JSON Baseline) / JSON Baseline</t>
  </si>
  <si>
    <t>Extrinsic Usage</t>
  </si>
  <si>
    <t>JSON R/T are ground truth only and are not used by RT estimation.</t>
  </si>
  <si>
    <t>\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</si>
</sst>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EADBA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0" fillId="0" borderId="2" xfId="1" applyFont="1" applyBorder="1" applyAlignment="1">
      <alignment vertical="center"/>
    </xf>
    <xf numFmtId="176" fontId="0" fillId="0" borderId="2" xfId="1" applyNumberFormat="1" applyFont="1" applyBorder="1" applyAlignment="1">
      <alignment vertical="center"/>
    </xf>
    <xf numFmtId="10" fontId="0" fillId="0" borderId="2" xfId="1" applyNumberFormat="1" applyFont="1" applyBorder="1" applyAlignment="1">
      <alignment vertical="center"/>
    </xf>
    <xf numFmtId="177" fontId="0" fillId="0" borderId="2" xfId="1" applyNumberFormat="1" applyFont="1" applyBorder="1" applyAlignment="1">
      <alignment vertical="center"/>
    </xf>
    <xf numFmtId="2" fontId="0" fillId="0" borderId="2" xfId="1" applyNumberFormat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176" fontId="0" fillId="0" borderId="3" xfId="1" applyNumberFormat="1" applyFont="1" applyBorder="1" applyAlignment="1">
      <alignment vertical="center"/>
    </xf>
    <xf numFmtId="10" fontId="0" fillId="0" borderId="3" xfId="1" applyNumberFormat="1" applyFont="1" applyBorder="1" applyAlignment="1">
      <alignment vertical="center"/>
    </xf>
    <xf numFmtId="177" fontId="0" fillId="0" borderId="3" xfId="1" applyNumberFormat="1" applyFont="1" applyBorder="1" applyAlignment="1">
      <alignment vertical="center"/>
    </xf>
    <xf numFmtId="2" fontId="0" fillId="0" borderId="3" xfId="1" applyNumberFormat="1" applyFont="1" applyBorder="1" applyAlignment="1">
      <alignment vertical="center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1" fillId="2" borderId="4" xfId="1" applyFont="1" applyFill="1" applyBorder="1"/>
    <xf numFmtId="0" fontId="0" fillId="0" borderId="4" xfId="1" applyFont="1" applyBorder="1"/>
    <xf numFmtId="0" fontId="2" fillId="0" borderId="4" xfId="1" applyFont="1" applyBorder="1"/>
    <xf numFmtId="176" fontId="0" fillId="0" borderId="4" xfId="1" applyNumberFormat="1" applyFont="1" applyBorder="1"/>
    <xf numFmtId="10" fontId="0" fillId="0" borderId="4" xfId="1" applyNumberFormat="1" applyFont="1" applyBorder="1"/>
    <xf numFmtId="0" fontId="0" fillId="0" borderId="4" xfId="1" applyFont="1" applyBorder="1" applyAlignment="1">
      <alignment wrapText="1"/>
    </xf>
    <xf numFmtId="0" fontId="0" fillId="0" borderId="4" xfId="1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Normal" xfId="1" xr:uid="{00000000-0005-0000-0000-000000000000}"/>
    <cellStyle name="一般" xfId="0" builtinId="0"/>
  </cellStyles>
  <dxfs count="3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B91C1C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BVCAMRTResults" displayName="HBVCAMRTResults" ref="A1:K6" totalsRowShown="0">
  <tableColumns count="11">
    <tableColumn id="1" xr3:uid="{00000000-0010-0000-0000-000001000000}" name="Run #"/>
    <tableColumn id="2" xr3:uid="{00000000-0010-0000-0000-000002000000}" name="Video File"/>
    <tableColumn id="3" xr3:uid="{00000000-0010-0000-0000-000003000000}" name="Video Path"/>
    <tableColumn id="8" xr3:uid="{00000000-0010-0000-0000-000008000000}" name="Rotation Error (deg)"/>
    <tableColumn id="11" xr3:uid="{00000000-0010-0000-0000-00000B000000}" name="Algorithm Baseline (mm)"/>
    <tableColumn id="12" xr3:uid="{00000000-0010-0000-0000-00000C000000}" name="JSON Baseline (mm)"/>
    <tableColumn id="13" xr3:uid="{00000000-0010-0000-0000-00000D000000}" name="Baseline Delta (mm)"/>
    <tableColumn id="14" xr3:uid="{00000000-0010-0000-0000-00000E000000}" name="Baseline Error (%)"/>
    <tableColumn id="16" xr3:uid="{00000000-0010-0000-0000-000010000000}" name="Marker Bidirectional RMS (px)"/>
    <tableColumn id="17" xr3:uid="{00000000-0010-0000-0000-000011000000}" name="Feature Median (px)"/>
    <tableColumn id="19" xr3:uid="{00000000-0010-0000-0000-000013000000}" name="Processing Time 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showGridLines="0" tabSelected="1" topLeftCell="C1" workbookViewId="0">
      <selection activeCell="C1" sqref="C1:K6"/>
    </sheetView>
  </sheetViews>
  <sheetFormatPr defaultRowHeight="14.25"/>
  <cols>
    <col min="1" max="1" width="8" customWidth="1"/>
    <col min="2" max="2" width="28" customWidth="1"/>
    <col min="3" max="3" width="52" customWidth="1"/>
    <col min="4" max="4" width="20" customWidth="1"/>
    <col min="5" max="5" width="22" customWidth="1"/>
    <col min="6" max="6" width="19" customWidth="1"/>
    <col min="7" max="7" width="20" customWidth="1"/>
    <col min="8" max="8" width="19" customWidth="1"/>
    <col min="9" max="9" width="28" customWidth="1"/>
    <col min="10" max="10" width="20" customWidth="1"/>
    <col min="11" max="11" width="19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5">
      <c r="A2" s="2">
        <v>1</v>
      </c>
      <c r="B2" s="2" t="s">
        <v>11</v>
      </c>
      <c r="C2" s="12" t="s">
        <v>12</v>
      </c>
      <c r="D2" s="3">
        <v>1.8140410243530776</v>
      </c>
      <c r="E2" s="3">
        <v>55.060606833480627</v>
      </c>
      <c r="F2" s="3">
        <v>61.838279270925206</v>
      </c>
      <c r="G2" s="3">
        <v>-6.7776724374445791</v>
      </c>
      <c r="H2" s="4">
        <f>IFERROR(ABS(G2)/F2,"")</f>
        <v>0.10960318620365087</v>
      </c>
      <c r="I2" s="5">
        <v>0.31834302651639945</v>
      </c>
      <c r="J2" s="5">
        <v>0.36115091911333774</v>
      </c>
      <c r="K2" s="6">
        <v>0.91946700005792081</v>
      </c>
    </row>
    <row r="3" spans="1:11" ht="28.5">
      <c r="A3" s="2">
        <v>2</v>
      </c>
      <c r="B3" s="2" t="s">
        <v>13</v>
      </c>
      <c r="C3" s="12" t="s">
        <v>14</v>
      </c>
      <c r="D3" s="3">
        <v>0.86932827364809184</v>
      </c>
      <c r="E3" s="3">
        <v>59.178387289819426</v>
      </c>
      <c r="F3" s="3">
        <v>61.838279270925206</v>
      </c>
      <c r="G3" s="3">
        <v>-2.6598919811057797</v>
      </c>
      <c r="H3" s="4">
        <f>IFERROR(ABS(G3)/F3,"")</f>
        <v>4.3013680400974447E-2</v>
      </c>
      <c r="I3" s="5">
        <v>0.14484887301991686</v>
      </c>
      <c r="J3" s="5">
        <v>0.51592420584615217</v>
      </c>
      <c r="K3" s="6">
        <v>1.1416938999900594</v>
      </c>
    </row>
    <row r="4" spans="1:11" ht="28.5">
      <c r="A4" s="2">
        <v>3</v>
      </c>
      <c r="B4" s="2" t="s">
        <v>15</v>
      </c>
      <c r="C4" s="12" t="s">
        <v>16</v>
      </c>
      <c r="D4" s="3">
        <v>1.3716709293631748</v>
      </c>
      <c r="E4" s="3">
        <v>56.052708589885619</v>
      </c>
      <c r="F4" s="3">
        <v>61.838279270925206</v>
      </c>
      <c r="G4" s="3">
        <v>-5.7855706810395873</v>
      </c>
      <c r="H4" s="4">
        <f>IFERROR(ABS(G4)/F4,"")</f>
        <v>9.3559697152825153E-2</v>
      </c>
      <c r="I4" s="5">
        <v>0.27380339522235014</v>
      </c>
      <c r="J4" s="5">
        <v>0.54778111885545622</v>
      </c>
      <c r="K4" s="6">
        <v>0.90093649993650615</v>
      </c>
    </row>
    <row r="5" spans="1:11" ht="28.5">
      <c r="A5" s="2">
        <v>4</v>
      </c>
      <c r="B5" s="2" t="s">
        <v>17</v>
      </c>
      <c r="C5" s="12" t="s">
        <v>18</v>
      </c>
      <c r="D5" s="3">
        <v>3.3694338790785849</v>
      </c>
      <c r="E5" s="3">
        <v>48.514879947574919</v>
      </c>
      <c r="F5" s="3">
        <v>61.838279270925206</v>
      </c>
      <c r="G5" s="3">
        <v>-13.323399323350287</v>
      </c>
      <c r="H5" s="4">
        <f>IFERROR(ABS(G5)/F5,"")</f>
        <v>0.21545553143511567</v>
      </c>
      <c r="I5" s="5">
        <v>0.16242830586546089</v>
      </c>
      <c r="J5" s="5">
        <v>0.89408878908083644</v>
      </c>
      <c r="K5" s="6">
        <v>1.0553170000202954</v>
      </c>
    </row>
    <row r="6" spans="1:11" ht="28.5">
      <c r="A6" s="7">
        <v>5</v>
      </c>
      <c r="B6" s="7" t="s">
        <v>19</v>
      </c>
      <c r="C6" s="13" t="s">
        <v>20</v>
      </c>
      <c r="D6" s="8">
        <v>1.4779258224993423</v>
      </c>
      <c r="E6" s="8">
        <v>61.308545745919631</v>
      </c>
      <c r="F6" s="8">
        <v>61.838279270925206</v>
      </c>
      <c r="G6" s="8">
        <v>-0.52973352500557525</v>
      </c>
      <c r="H6" s="9">
        <f>IFERROR(ABS(G6)/F6,"")</f>
        <v>8.5664337890889938E-3</v>
      </c>
      <c r="I6" s="10">
        <v>0.11548153049547223</v>
      </c>
      <c r="J6" s="10">
        <v>1.3868744795340846</v>
      </c>
      <c r="K6" s="11">
        <v>0.62987599999178201</v>
      </c>
    </row>
  </sheetData>
  <phoneticPr fontId="4" type="noConversion"/>
  <conditionalFormatting sqref="H2:H6">
    <cfRule type="colorScale" priority="4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>
      <selection activeCell="A4" sqref="A4:XFD6"/>
    </sheetView>
  </sheetViews>
  <sheetFormatPr defaultRowHeight="14.25"/>
  <cols>
    <col min="1" max="1" width="38" customWidth="1"/>
    <col min="2" max="2" width="22" customWidth="1"/>
  </cols>
  <sheetData>
    <row r="1" spans="1:2" ht="15">
      <c r="A1" s="14" t="s">
        <v>41</v>
      </c>
      <c r="B1" s="14" t="s">
        <v>21</v>
      </c>
    </row>
    <row r="2" spans="1:2" ht="15">
      <c r="A2" s="16" t="s">
        <v>22</v>
      </c>
      <c r="B2" s="15">
        <f>COUNTA('RT Results'!B2:B6)</f>
        <v>5</v>
      </c>
    </row>
    <row r="3" spans="1:2" ht="15">
      <c r="A3" s="16" t="s">
        <v>23</v>
      </c>
      <c r="B3" s="15">
        <f>COUNT('RT Results'!E2:E6)</f>
        <v>5</v>
      </c>
    </row>
    <row r="4" spans="1:2" ht="15">
      <c r="A4" s="16" t="s">
        <v>24</v>
      </c>
      <c r="B4" s="17">
        <f>IFERROR(AVERAGE('RT Results'!D2:D6),"")</f>
        <v>1.7804799857884543</v>
      </c>
    </row>
    <row r="5" spans="1:2" ht="15">
      <c r="A5" s="16" t="s">
        <v>25</v>
      </c>
      <c r="B5" s="17" t="str">
        <f>IFERROR(AVERAGE('RT Results'!#REF!),"")</f>
        <v/>
      </c>
    </row>
    <row r="6" spans="1:2" ht="15">
      <c r="A6" s="16" t="s">
        <v>26</v>
      </c>
      <c r="B6" s="18">
        <f>IFERROR(AVERAGE('RT Results'!H2:H6),"")</f>
        <v>9.4039705796331016E-2</v>
      </c>
    </row>
    <row r="7" spans="1:2" ht="15">
      <c r="A7" s="16" t="s">
        <v>27</v>
      </c>
      <c r="B7" s="18">
        <f>IFERROR(MAX('RT Results'!H2:H6),"")</f>
        <v>0.21545553143511567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/>
  </sheetViews>
  <sheetFormatPr defaultRowHeight="14.25"/>
  <cols>
    <col min="1" max="1" width="38" customWidth="1"/>
    <col min="2" max="2" width="78" customWidth="1"/>
  </cols>
  <sheetData>
    <row r="1" spans="1:2" ht="15">
      <c r="A1" s="14" t="s">
        <v>28</v>
      </c>
      <c r="B1" s="14" t="s">
        <v>21</v>
      </c>
    </row>
    <row r="2" spans="1:2" ht="15">
      <c r="A2" s="16" t="s">
        <v>29</v>
      </c>
      <c r="B2" s="19" t="s">
        <v>30</v>
      </c>
    </row>
    <row r="3" spans="1:2" ht="15">
      <c r="A3" s="16" t="s">
        <v>31</v>
      </c>
      <c r="B3" s="19" t="s">
        <v>32</v>
      </c>
    </row>
    <row r="4" spans="1:2" ht="15">
      <c r="A4" s="16" t="s">
        <v>33</v>
      </c>
      <c r="B4" s="19" t="s">
        <v>34</v>
      </c>
    </row>
    <row r="5" spans="1:2" ht="15">
      <c r="A5" s="16" t="s">
        <v>35</v>
      </c>
      <c r="B5" s="19">
        <v>50</v>
      </c>
    </row>
    <row r="6" spans="1:2" ht="15">
      <c r="A6" s="16" t="s">
        <v>36</v>
      </c>
      <c r="B6" s="20" t="b">
        <v>0</v>
      </c>
    </row>
    <row r="7" spans="1:2" ht="15">
      <c r="A7" s="16" t="s">
        <v>37</v>
      </c>
      <c r="B7" s="19" t="s">
        <v>38</v>
      </c>
    </row>
    <row r="8" spans="1:2" ht="15">
      <c r="A8" s="16" t="s">
        <v>39</v>
      </c>
      <c r="B8" s="19" t="s">
        <v>40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RT Results</vt:lpstr>
      <vt:lpstr>Summary</vt:lpstr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GIT Mark Tsai (蔡翔任)</cp:lastModifiedBy>
  <dcterms:created xsi:type="dcterms:W3CDTF">2026-07-30T01:24:06Z</dcterms:created>
  <dcterms:modified xsi:type="dcterms:W3CDTF">2026-07-30T01:24:23Z</dcterms:modified>
</cp:coreProperties>
</file>