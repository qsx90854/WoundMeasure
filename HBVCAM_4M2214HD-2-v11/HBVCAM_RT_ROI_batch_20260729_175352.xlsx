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ac92d95eb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 Results" sheetId="1" r:id="R4683d32c870a4a2d"/>
    <x:sheet xmlns:r="http://schemas.openxmlformats.org/officeDocument/2006/relationships" name="Summary" sheetId="2" r:id="R16030df962eb4688"/>
    <x:sheet xmlns:r="http://schemas.openxmlformats.org/officeDocument/2006/relationships" name="Protocol" sheetId="3" r:id="R0436177623bd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0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/>
    <x:xf numFmtId="0" fontId="0" fillId="0" borderId="4" xfId="0" applyNumberFormat="1" applyFont="1" applyFill="1" applyBorder="1"/>
    <x:xf numFmtId="0" fontId="2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2" fillId="0" borderId="0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e127ac86b4048" /><Relationship Type="http://schemas.openxmlformats.org/officeDocument/2006/relationships/theme" Target="/xl/theme/theme1.xml" Id="R06faf6fef9d64bcb" /><Relationship Type="http://schemas.microsoft.com/office/2022/11/relationships/FeaturePropertyBag" Target="/xl/featurePropertyBag/featurePropertyBag.xml" Id="Rdefa3d1bf4194102" /><Relationship Type="http://schemas.openxmlformats.org/officeDocument/2006/relationships/sharedStrings" Target="/xl/sharedStrings.xml" Id="R0c2faa45ea644655" /><Relationship Type="http://schemas.openxmlformats.org/officeDocument/2006/relationships/worksheet" Target="/xl/worksheets/sheet1.xml" Id="R4683d32c870a4a2d" /><Relationship Type="http://schemas.openxmlformats.org/officeDocument/2006/relationships/worksheet" Target="/xl/worksheets/sheet2.xml" Id="R16030df962eb4688" /><Relationship Type="http://schemas.openxmlformats.org/officeDocument/2006/relationships/worksheet" Target="/xl/worksheets/sheet3.xml" Id="R0436177623bd4b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BVCAMRTResults" displayName="HBVCAMRTResults" ref="A1:T6" headerRowCount="1" totalsRowCount="0" totalsRowShown="0">
  <x:tableColumns count="20">
    <x:tableColumn id="1" name="Run #"/>
    <x:tableColumn id="2" name="Video File"/>
    <x:tableColumn id="3" name="Video Path"/>
    <x:tableColumn id="4" name="Status"/>
    <x:tableColumn id="5" name="Failure Reason"/>
    <x:tableColumn id="6" name="Frame Index"/>
    <x:tableColumn id="7" name="Total Frames"/>
    <x:tableColumn id="8" name="Rotation Error (deg)"/>
    <x:tableColumn id="9" name="Translation L2 Error (mm)"/>
    <x:tableColumn id="10" name="Translation Direction Error (deg)"/>
    <x:tableColumn id="11" name="Algorithm Baseline (mm)"/>
    <x:tableColumn id="12" name="JSON Baseline (mm)"/>
    <x:tableColumn id="13" name="Baseline Delta (mm)"/>
    <x:tableColumn id="14" name="Baseline Error (%)"/>
    <x:tableColumn id="15" name="RT Internal Error (px)"/>
    <x:tableColumn id="16" name="Marker Bidirectional RMS (px)"/>
    <x:tableColumn id="17" name="Feature Median (px)"/>
    <x:tableColumn id="18" name="RT Reliable"/>
    <x:tableColumn id="19" name="Processing Time (s)"/>
    <x:tableColumn id="20" name="Absolute Baseline Delta (m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446d0b691841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2" hidden="0" customWidth="1"/>
    <x:col min="4" max="4" width="18" hidden="0" customWidth="1"/>
    <x:col min="5" max="5" width="44" hidden="0" customWidth="1"/>
    <x:col min="6" max="6" width="12" hidden="0" customWidth="1"/>
    <x:col min="7" max="7" width="13" hidden="0" customWidth="1"/>
    <x:col min="8" max="8" width="20" hidden="0" customWidth="1"/>
    <x:col min="9" max="9" width="22" hidden="0" customWidth="1"/>
    <x:col min="10" max="10" width="27" hidden="0" customWidth="1"/>
    <x:col min="11" max="11" width="22" hidden="0" customWidth="1"/>
    <x:col min="12" max="12" width="19" hidden="0" customWidth="1"/>
    <x:col min="13" max="13" width="20" hidden="0" customWidth="1"/>
    <x:col min="14" max="14" width="19" hidden="0" customWidth="1"/>
    <x:col min="15" max="15" width="21" hidden="0" customWidth="1"/>
    <x:col min="16" max="16" width="28" hidden="0" customWidth="1"/>
    <x:col min="17" max="17" width="20" hidden="0" customWidth="1"/>
    <x:col min="18" max="18" width="13" hidden="0" customWidth="1"/>
    <x:col min="19" max="19" width="19" hidden="0" customWidth="1"/>
    <x:col min="20" max="20" width="25" hidden="0" customWidth="1"/>
  </x:cols>
  <x:sheetData>
    <x:row r="1" ht="36" customHeight="1">
      <x:c r="A1" s="12" t="str">
        <x:v>Run #</x:v>
      </x:c>
      <x:c r="B1" s="12" t="str">
        <x:v>Video File</x:v>
      </x:c>
      <x:c r="C1" s="12" t="str">
        <x:v>Video Path</x:v>
      </x:c>
      <x:c r="D1" s="12" t="str">
        <x:v>Status</x:v>
      </x:c>
      <x:c r="E1" s="12" t="str">
        <x:v>Failure Reason</x:v>
      </x:c>
      <x:c r="F1" s="12" t="str">
        <x:v>Frame Index</x:v>
      </x:c>
      <x:c r="G1" s="12" t="str">
        <x:v>Total Frames</x:v>
      </x:c>
      <x:c r="H1" s="12" t="str">
        <x:v>Rotation Error (deg)</x:v>
      </x:c>
      <x:c r="I1" s="12" t="str">
        <x:v>Translation L2 Error (mm)</x:v>
      </x:c>
      <x:c r="J1" s="12" t="str">
        <x:v>Translation Direction Error (deg)</x:v>
      </x:c>
      <x:c r="K1" s="12" t="str">
        <x:v>Algorithm Baseline (mm)</x:v>
      </x:c>
      <x:c r="L1" s="12" t="str">
        <x:v>JSON Baseline (mm)</x:v>
      </x:c>
      <x:c r="M1" s="12" t="str">
        <x:v>Baseline Delta (mm)</x:v>
      </x:c>
      <x:c r="N1" s="12" t="str">
        <x:v>Baseline Error (%)</x:v>
      </x:c>
      <x:c r="O1" s="12" t="str">
        <x:v>RT Internal Error (px)</x:v>
      </x:c>
      <x:c r="P1" s="12" t="str">
        <x:v>Marker Bidirectional RMS (px)</x:v>
      </x:c>
      <x:c r="Q1" s="12" t="str">
        <x:v>Feature Median (px)</x:v>
      </x:c>
      <x:c r="R1" s="12" t="str">
        <x:v>RT Reliable</x:v>
      </x:c>
      <x:c r="S1" s="12" t="str">
        <x:v>Processing Time (s)</x:v>
      </x:c>
      <x:c r="T1" s="12" t="str">
        <x:v>Absolute Baseline Delta (mm)</x:v>
      </x:c>
    </x:row>
    <x:row r="2">
      <x:c r="A2" s="13" t="n">
        <x:v>1</x:v>
      </x:c>
      <x:c r="B2" s="13" t="str">
        <x:v>video_20260729_171736.mp4</x:v>
      </x:c>
      <x:c r="C2" s="25" t="str">
        <x:v>D:\Lightglue\lg_env\HBVCAM_4M2214HD-2-v11\video_20260729_171736.mp4</x:v>
      </x:c>
      <x:c r="D2" s="13" t="str">
        <x:v>OK</x:v>
      </x:c>
      <x:c r="E2" s="25" t="str"/>
      <x:c r="F2" s="13" t="n">
        <x:v>50</x:v>
      </x:c>
      <x:c r="G2" s="13" t="n">
        <x:v>1061</x:v>
      </x:c>
      <x:c r="H2" s="14" t="n">
        <x:v>1.8140410243530776</x:v>
      </x:c>
      <x:c r="I2" s="14" t="n">
        <x:v>9.238990818959103</x:v>
      </x:c>
      <x:c r="J2" s="14" t="n">
        <x:v>6.168123985529272</x:v>
      </x:c>
      <x:c r="K2" s="14" t="n">
        <x:v>55.06060683348063</x:v>
      </x:c>
      <x:c r="L2" s="14" t="n">
        <x:v>61.838279270925206</x:v>
      </x:c>
      <x:c r="M2" s="14" t="n">
        <x:v>-6.777672437444579</x:v>
      </x:c>
      <x:c r="N2" s="15" t="n">
        <x:f>IFERROR(ABS(M2)/L2,"")</x:f>
        <x:v>0.10960318620365087</x:v>
      </x:c>
      <x:c r="O2" s="16" t="n">
        <x:v>0.36115091911333774</x:v>
      </x:c>
      <x:c r="P2" s="16" t="n">
        <x:v>0.31834302651639945</x:v>
      </x:c>
      <x:c r="Q2" s="16" t="n">
        <x:v>0.36115091911333774</x:v>
      </x:c>
      <x:c r="R2" s="17" t="b">
        <x:v>1</x:v>
      </x:c>
      <x:c r="S2" s="18" t="n">
        <x:v>0.9194670000579208</x:v>
      </x:c>
      <x:c r="T2" s="14" t="n">
        <x:f>IF(M2="","",ABS(M2))</x:f>
        <x:v>6.777672437444579</x:v>
      </x:c>
    </x:row>
    <x:row r="3">
      <x:c r="A3" s="13" t="n">
        <x:v>2</x:v>
      </x:c>
      <x:c r="B3" s="13" t="str">
        <x:v>video_20260729_172717.mp4</x:v>
      </x:c>
      <x:c r="C3" s="25" t="str">
        <x:v>D:\Lightglue\lg_env\HBVCAM_4M2214HD-2-v11\video_20260729_172717.mp4</x:v>
      </x:c>
      <x:c r="D3" s="13" t="str">
        <x:v>QUALITY_WARNING</x:v>
      </x:c>
      <x:c r="E3" s="25" t="str">
        <x:v>RT result produced, but the analyzer quality flag is false.</x:v>
      </x:c>
      <x:c r="F3" s="13" t="n">
        <x:v>50</x:v>
      </x:c>
      <x:c r="G3" s="13" t="n">
        <x:v>166</x:v>
      </x:c>
      <x:c r="H3" s="14" t="n">
        <x:v>0.8693282736480918</x:v>
      </x:c>
      <x:c r="I3" s="14" t="n">
        <x:v>4.256927043487274</x:v>
      </x:c>
      <x:c r="J3" s="14" t="n">
        <x:v>3.148309654213669</x:v>
      </x:c>
      <x:c r="K3" s="14" t="n">
        <x:v>59.178387289819426</x:v>
      </x:c>
      <x:c r="L3" s="14" t="n">
        <x:v>61.838279270925206</x:v>
      </x:c>
      <x:c r="M3" s="14" t="n">
        <x:v>-2.6598919811057797</x:v>
      </x:c>
      <x:c r="N3" s="15" t="n">
        <x:f>IFERROR(ABS(M3)/L3,"")</x:f>
        <x:v>0.04301368040097445</x:v>
      </x:c>
      <x:c r="O3" s="16" t="n">
        <x:v>0.5159242058461522</x:v>
      </x:c>
      <x:c r="P3" s="16" t="n">
        <x:v>0.14484887301991686</x:v>
      </x:c>
      <x:c r="Q3" s="16" t="n">
        <x:v>0.5159242058461522</x:v>
      </x:c>
      <x:c r="R3" s="17" t="b">
        <x:v>0</x:v>
      </x:c>
      <x:c r="S3" s="18" t="n">
        <x:v>1.1416938999900594</x:v>
      </x:c>
      <x:c r="T3" s="14" t="n">
        <x:f>IF(M3="","",ABS(M3))</x:f>
        <x:v>2.6598919811057797</x:v>
      </x:c>
    </x:row>
    <x:row r="4">
      <x:c r="A4" s="13" t="n">
        <x:v>3</x:v>
      </x:c>
      <x:c r="B4" s="13" t="str">
        <x:v>video_20260729_173013.mp4</x:v>
      </x:c>
      <x:c r="C4" s="25" t="str">
        <x:v>D:\Lightglue\lg_env\HBVCAM_4M2214HD-2-v11\video_20260729_173013.mp4</x:v>
      </x:c>
      <x:c r="D4" s="13" t="str">
        <x:v>OK</x:v>
      </x:c>
      <x:c r="E4" s="25" t="str"/>
      <x:c r="F4" s="13" t="n">
        <x:v>50</x:v>
      </x:c>
      <x:c r="G4" s="13" t="n">
        <x:v>372</x:v>
      </x:c>
      <x:c r="H4" s="14" t="n">
        <x:v>1.3716709293631748</x:v>
      </x:c>
      <x:c r="I4" s="14" t="n">
        <x:v>6.926564878758432</x:v>
      </x:c>
      <x:c r="J4" s="14" t="n">
        <x:v>3.7069980628525476</x:v>
      </x:c>
      <x:c r="K4" s="14" t="n">
        <x:v>56.05270858988562</x:v>
      </x:c>
      <x:c r="L4" s="14" t="n">
        <x:v>61.838279270925206</x:v>
      </x:c>
      <x:c r="M4" s="14" t="n">
        <x:v>-5.785570681039587</x:v>
      </x:c>
      <x:c r="N4" s="15" t="n">
        <x:f>IFERROR(ABS(M4)/L4,"")</x:f>
        <x:v>0.09355969715282515</x:v>
      </x:c>
      <x:c r="O4" s="16" t="n">
        <x:v>0.5477811188554562</x:v>
      </x:c>
      <x:c r="P4" s="16" t="n">
        <x:v>0.27380339522235014</x:v>
      </x:c>
      <x:c r="Q4" s="16" t="n">
        <x:v>0.5477811188554562</x:v>
      </x:c>
      <x:c r="R4" s="17" t="b">
        <x:v>1</x:v>
      </x:c>
      <x:c r="S4" s="18" t="n">
        <x:v>0.9009364999365062</x:v>
      </x:c>
      <x:c r="T4" s="14" t="n">
        <x:f>IF(M4="","",ABS(M4))</x:f>
        <x:v>5.785570681039587</x:v>
      </x:c>
    </x:row>
    <x:row r="5">
      <x:c r="A5" s="13" t="n">
        <x:v>4</x:v>
      </x:c>
      <x:c r="B5" s="13" t="str">
        <x:v>video_20260729_173233.mp4</x:v>
      </x:c>
      <x:c r="C5" s="25" t="str">
        <x:v>D:\Lightglue\lg_env\HBVCAM_4M2214HD-2-v11\video_20260729_173233.mp4</x:v>
      </x:c>
      <x:c r="D5" s="13" t="str">
        <x:v>QUALITY_WARNING</x:v>
      </x:c>
      <x:c r="E5" s="25" t="str">
        <x:v>RT result produced, but the analyzer quality flag is false.</x:v>
      </x:c>
      <x:c r="F5" s="13" t="n">
        <x:v>50</x:v>
      </x:c>
      <x:c r="G5" s="13" t="n">
        <x:v>338</x:v>
      </x:c>
      <x:c r="H5" s="14" t="n">
        <x:v>3.369433879078585</x:v>
      </x:c>
      <x:c r="I5" s="14" t="n">
        <x:v>17.324777798447762</x:v>
      </x:c>
      <x:c r="J5" s="14" t="n">
        <x:v>11.603956186019744</x:v>
      </x:c>
      <x:c r="K5" s="14" t="n">
        <x:v>48.51487994757492</x:v>
      </x:c>
      <x:c r="L5" s="14" t="n">
        <x:v>61.838279270925206</x:v>
      </x:c>
      <x:c r="M5" s="14" t="n">
        <x:v>-13.323399323350287</x:v>
      </x:c>
      <x:c r="N5" s="15" t="n">
        <x:f>IFERROR(ABS(M5)/L5,"")</x:f>
        <x:v>0.21545553143511567</x:v>
      </x:c>
      <x:c r="O5" s="16" t="n">
        <x:v>0.8940887890808364</x:v>
      </x:c>
      <x:c r="P5" s="16" t="n">
        <x:v>0.1624283058654609</x:v>
      </x:c>
      <x:c r="Q5" s="16" t="n">
        <x:v>0.8940887890808364</x:v>
      </x:c>
      <x:c r="R5" s="17" t="b">
        <x:v>0</x:v>
      </x:c>
      <x:c r="S5" s="18" t="n">
        <x:v>1.0553170000202954</x:v>
      </x:c>
      <x:c r="T5" s="14" t="n">
        <x:f>IF(M5="","",ABS(M5))</x:f>
        <x:v>13.323399323350287</x:v>
      </x:c>
    </x:row>
    <x:row r="6">
      <x:c r="A6" s="19" t="n">
        <x:v>5</x:v>
      </x:c>
      <x:c r="B6" s="19" t="str">
        <x:v>video_20260729_175251.mp4</x:v>
      </x:c>
      <x:c r="C6" s="26" t="str">
        <x:v>D:\Lightglue\lg_env\HBVCAM_4M2214HD-2-v11\video_20260729_175251.mp4</x:v>
      </x:c>
      <x:c r="D6" s="19" t="str">
        <x:v>QUALITY_WARNING</x:v>
      </x:c>
      <x:c r="E6" s="26" t="str">
        <x:v>RT result produced, but the analyzer quality flag is false.</x:v>
      </x:c>
      <x:c r="F6" s="19" t="n">
        <x:v>50</x:v>
      </x:c>
      <x:c r="G6" s="19" t="n">
        <x:v>124</x:v>
      </x:c>
      <x:c r="H6" s="20" t="n">
        <x:v>1.4779258224993423</x:v>
      </x:c>
      <x:c r="I6" s="20" t="n">
        <x:v>4.493164324028721</x:v>
      </x:c>
      <x:c r="J6" s="20" t="n">
        <x:v>4.152802781703446</x:v>
      </x:c>
      <x:c r="K6" s="20" t="n">
        <x:v>61.30854574591963</x:v>
      </x:c>
      <x:c r="L6" s="20" t="n">
        <x:v>61.838279270925206</x:v>
      </x:c>
      <x:c r="M6" s="20" t="n">
        <x:v>-0.5297335250055752</x:v>
      </x:c>
      <x:c r="N6" s="21" t="n">
        <x:f>IFERROR(ABS(M6)/L6,"")</x:f>
        <x:v>0.008566433789088994</x:v>
      </x:c>
      <x:c r="O6" s="22" t="n">
        <x:v>1.3868744795340846</x:v>
      </x:c>
      <x:c r="P6" s="22" t="n">
        <x:v>0.11548153049547223</x:v>
      </x:c>
      <x:c r="Q6" s="22" t="n">
        <x:v>1.3868744795340846</x:v>
      </x:c>
      <x:c r="R6" s="23" t="b">
        <x:v>0</x:v>
      </x:c>
      <x:c r="S6" s="24" t="n">
        <x:v>0.629875999991782</x:v>
      </x:c>
      <x:c r="T6" s="20" t="n">
        <x:f>IF(M6="","",ABS(M6))</x:f>
        <x:v>0.5297335250055752</x:v>
      </x:c>
    </x:row>
  </x:sheetData>
  <x:conditionalFormatting sqref="D2:D6">
    <x:cfRule type="containsText" dxfId="0" priority="1" operator="containsText" text="FAILED"/>
    <x:cfRule type="containsText" dxfId="1" priority="2" operator="containsText" text="QUALITY_WARNING"/>
    <x:cfRule type="containsText" dxfId="2" priority="3" operator="containsText" text="OK"/>
  </x:conditionalFormatting>
  <x:conditionalFormatting sqref="N2:N6">
    <x:cfRule type="colorScale" priority="4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9446d0b691841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>
      <x:c r="A1" s="27" t="str">
        <x:v>Metric</x:v>
      </x:c>
      <x:c r="B1" s="27" t="str">
        <x:v>Value</x:v>
      </x:c>
    </x:row>
    <x:row r="2">
      <x:c r="A2" s="29" t="str">
        <x:v>Total Videos</x:v>
      </x:c>
      <x:c r="B2" s="28" t="n">
        <x:f>COUNTA('RT Results'!B2:B6)</x:f>
        <x:v>5</x:v>
      </x:c>
    </x:row>
    <x:row r="3">
      <x:c r="A3" s="29" t="str">
        <x:v>RT Results Produced</x:v>
      </x:c>
      <x:c r="B3" s="28" t="n">
        <x:f>COUNT('RT Results'!K2:K6)</x:f>
        <x:v>5</x:v>
      </x:c>
    </x:row>
    <x:row r="4">
      <x:c r="A4" s="29" t="str">
        <x:v>Quality OK</x:v>
      </x:c>
      <x:c r="B4" s="28" t="n">
        <x:f>COUNTIF('RT Results'!D2:D6,"OK")</x:f>
        <x:v>2</x:v>
      </x:c>
    </x:row>
    <x:row r="5">
      <x:c r="A5" s="29" t="str">
        <x:v>Quality Warnings</x:v>
      </x:c>
      <x:c r="B5" s="28" t="n">
        <x:f>COUNTIF('RT Results'!D2:D6,"QUALITY_WARNING")</x:f>
        <x:v>3</x:v>
      </x:c>
    </x:row>
    <x:row r="6">
      <x:c r="A6" s="29" t="str">
        <x:v>Failed</x:v>
      </x:c>
      <x:c r="B6" s="28" t="n">
        <x:f>COUNTIF('RT Results'!D2:D6,"FAILED")</x:f>
        <x:v>0</x:v>
      </x:c>
    </x:row>
    <x:row r="7">
      <x:c r="A7" s="29" t="str">
        <x:v>Mean Rotation Error (deg)</x:v>
      </x:c>
      <x:c r="B7" s="30" t="n">
        <x:f>IFERROR(AVERAGE('RT Results'!H2:H6),"")</x:f>
        <x:v>1.7804799857884543</x:v>
      </x:c>
    </x:row>
    <x:row r="8">
      <x:c r="A8" s="29" t="str">
        <x:v>Mean Absolute Baseline Delta (mm)</x:v>
      </x:c>
      <x:c r="B8" s="30" t="n">
        <x:f>IFERROR(AVERAGE('RT Results'!T2:T6),"")</x:f>
        <x:v>5.815253589589162</x:v>
      </x:c>
    </x:row>
    <x:row r="9">
      <x:c r="A9" s="29" t="str">
        <x:v>Mean Baseline Error (%)</x:v>
      </x:c>
      <x:c r="B9" s="31" t="n">
        <x:f>IFERROR(AVERAGE('RT Results'!N2:N6),"")</x:f>
        <x:v>0.09403970579633102</x:v>
      </x:c>
    </x:row>
    <x:row r="10">
      <x:c r="A10" s="29" t="str">
        <x:v>Maximum Baseline Error (%)</x:v>
      </x:c>
      <x:c r="B10" s="31" t="n">
        <x:f>IFERROR(MAX('RT Results'!N2:N6),"")</x:f>
        <x:v>0.21545553143511567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8" hidden="0" customWidth="1"/>
  </x:cols>
  <x:sheetData>
    <x:row r="1">
      <x:c r="A1" s="27" t="str">
        <x:v>Parameter</x:v>
      </x:c>
      <x:c r="B1" s="27" t="str">
        <x:v>Value</x:v>
      </x:c>
    </x:row>
    <x:row r="2">
      <x:c r="A2" s="29" t="str">
        <x:v>Generated At</x:v>
      </x:c>
      <x:c r="B2" s="34" t="str">
        <x:v>2026-07-29T17:53:56</x:v>
      </x:c>
    </x:row>
    <x:row r="3">
      <x:c r="A3" s="29" t="str">
        <x:v>Source Folder</x:v>
      </x:c>
      <x:c r="B3" s="34" t="str">
        <x:v>D:\Lightglue\lg_env\HBVCAM_4M2214HD-2-v11</x:v>
      </x:c>
    </x:row>
    <x:row r="4">
      <x:c r="A4" s="29" t="str">
        <x:v>Calibration File</x:v>
      </x:c>
      <x:c r="B4" s="34" t="str">
        <x:v>D:\Lightglue\lg_env\calibration_result_HBVCAM_4M2214HD-2-v11.json</x:v>
      </x:c>
    </x:row>
    <x:row r="5">
      <x:c r="A5" s="29" t="str">
        <x:v>Reference Frame Index (zero-based)</x:v>
      </x:c>
      <x:c r="B5" s="34" t="n">
        <x:v>50</x:v>
      </x:c>
    </x:row>
    <x:row r="6">
      <x:c r="A6" s="29" t="str">
        <x:v>Recursive Search</x:v>
      </x:c>
      <x:c r="B6" s="35" t="b">
        <x:v>0</x:v>
      </x:c>
    </x:row>
    <x:row r="7">
      <x:c r="A7" s="29" t="str">
        <x:v>Baseline Error Formula</x:v>
      </x:c>
      <x:c r="B7" s="34" t="str">
        <x:v>ABS(Algorithm Baseline - JSON Baseline) / JSON Baseline</x:v>
      </x:c>
    </x:row>
    <x:row r="8">
      <x:c r="A8" s="29" t="str">
        <x:v>Extrinsic Usage</x:v>
      </x:c>
      <x:c r="B8" s="34" t="str">
        <x:v>JSON R/T are ground truth only and are not used by RT estimation.</x:v>
      </x:c>
    </x:row>
  </x:sheetData>
  <x:pageMargins left="0.7" right="0.7" top="0.75" bottom="0.75" header="0.3" footer="0.3"/>
</x:worksheet>
</file>